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/>
  <mc:AlternateContent xmlns:mc="http://schemas.openxmlformats.org/markup-compatibility/2006">
    <mc:Choice Requires="x15">
      <x15ac:absPath xmlns:x15ac="http://schemas.microsoft.com/office/spreadsheetml/2010/11/ac" url="/Users/tomgosney/Documents/FYP/Report/"/>
    </mc:Choice>
  </mc:AlternateContent>
  <xr:revisionPtr revIDLastSave="0" documentId="13_ncr:1_{BA7ADD84-1263-1B45-A9B4-2EC2EA389029}" xr6:coauthVersionLast="47" xr6:coauthVersionMax="47" xr10:uidLastSave="{00000000-0000-0000-0000-000000000000}"/>
  <bookViews>
    <workbookView xWindow="-38400" yWindow="-3000" windowWidth="38400" windowHeight="21000" xr2:uid="{00000000-000D-0000-FFFF-FFFF00000000}"/>
  </bookViews>
  <sheets>
    <sheet name="Combined (BH)" sheetId="10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4" i="10" l="1"/>
  <c r="AA5" i="10"/>
  <c r="AA6" i="10"/>
  <c r="AA7" i="10"/>
  <c r="AA8" i="10"/>
  <c r="AA9" i="10"/>
  <c r="AA10" i="10"/>
  <c r="AA11" i="10"/>
  <c r="AA12" i="10"/>
  <c r="AA13" i="10"/>
  <c r="AA14" i="10"/>
  <c r="AA15" i="10"/>
  <c r="AA16" i="10"/>
  <c r="AA17" i="10"/>
  <c r="AA18" i="10"/>
  <c r="AA19" i="10"/>
  <c r="AA20" i="10"/>
  <c r="AA21" i="10"/>
  <c r="AA22" i="10"/>
  <c r="AA23" i="10"/>
  <c r="AA24" i="10"/>
  <c r="AA25" i="10"/>
  <c r="AA26" i="10"/>
  <c r="AA27" i="10"/>
  <c r="AA28" i="10"/>
  <c r="AA29" i="10"/>
  <c r="AA30" i="10"/>
  <c r="AA31" i="10"/>
  <c r="AA32" i="10"/>
  <c r="AA33" i="10"/>
  <c r="AA34" i="10"/>
  <c r="AA35" i="10"/>
  <c r="AA36" i="10"/>
  <c r="AA37" i="10"/>
  <c r="AA38" i="10"/>
  <c r="AA39" i="10"/>
  <c r="AA40" i="10"/>
  <c r="AA41" i="10"/>
  <c r="AA42" i="10"/>
  <c r="AA43" i="10"/>
  <c r="AA3" i="10"/>
  <c r="Z4" i="10"/>
  <c r="Z5" i="10"/>
  <c r="Z6" i="10"/>
  <c r="Z7" i="10"/>
  <c r="Z8" i="10"/>
  <c r="Z9" i="10"/>
  <c r="Z10" i="10"/>
  <c r="Z11" i="10"/>
  <c r="Z12" i="10"/>
  <c r="Z13" i="10"/>
  <c r="Z14" i="10"/>
  <c r="Z15" i="10"/>
  <c r="Z16" i="10"/>
  <c r="Z17" i="10"/>
  <c r="Z18" i="10"/>
  <c r="Z19" i="10"/>
  <c r="Z20" i="10"/>
  <c r="Z21" i="10"/>
  <c r="Z22" i="10"/>
  <c r="Z23" i="10"/>
  <c r="Z24" i="10"/>
  <c r="Z25" i="10"/>
  <c r="Z26" i="10"/>
  <c r="Z27" i="10"/>
  <c r="Z28" i="10"/>
  <c r="Z29" i="10"/>
  <c r="Z30" i="10"/>
  <c r="Z31" i="10"/>
  <c r="Z32" i="10"/>
  <c r="Z33" i="10"/>
  <c r="Z34" i="10"/>
  <c r="Z35" i="10"/>
  <c r="Z36" i="10"/>
  <c r="Z37" i="10"/>
  <c r="Z38" i="10"/>
  <c r="Z39" i="10"/>
  <c r="Z40" i="10"/>
  <c r="Z41" i="10"/>
  <c r="Z42" i="10"/>
  <c r="Z43" i="10"/>
  <c r="Z3" i="10"/>
  <c r="V4" i="10"/>
  <c r="V5" i="10"/>
  <c r="V6" i="10"/>
  <c r="V7" i="10"/>
  <c r="V8" i="10"/>
  <c r="V9" i="10"/>
  <c r="V10" i="10"/>
  <c r="V11" i="10"/>
  <c r="V12" i="10"/>
  <c r="V13" i="10"/>
  <c r="V14" i="10"/>
  <c r="V15" i="10"/>
  <c r="V16" i="10"/>
  <c r="V17" i="10"/>
  <c r="V18" i="10"/>
  <c r="V19" i="10"/>
  <c r="V20" i="10"/>
  <c r="V21" i="10"/>
  <c r="V22" i="10"/>
  <c r="V23" i="10"/>
  <c r="V24" i="10"/>
  <c r="V25" i="10"/>
  <c r="V26" i="10"/>
  <c r="V27" i="10"/>
  <c r="V28" i="10"/>
  <c r="V29" i="10"/>
  <c r="V30" i="10"/>
  <c r="V31" i="10"/>
  <c r="V32" i="10"/>
  <c r="V33" i="10"/>
  <c r="V34" i="10"/>
  <c r="V35" i="10"/>
  <c r="V36" i="10"/>
  <c r="V37" i="10"/>
  <c r="V38" i="10"/>
  <c r="V39" i="10"/>
  <c r="V40" i="10"/>
  <c r="V41" i="10"/>
  <c r="V42" i="10"/>
  <c r="V43" i="10"/>
  <c r="V3" i="10"/>
  <c r="X43" i="10"/>
  <c r="W43" i="10"/>
  <c r="T43" i="10"/>
  <c r="U43" i="10" s="1"/>
  <c r="S43" i="10"/>
  <c r="X42" i="10"/>
  <c r="W42" i="10"/>
  <c r="T42" i="10"/>
  <c r="S42" i="10"/>
  <c r="X41" i="10"/>
  <c r="Y41" i="10" s="1"/>
  <c r="W41" i="10"/>
  <c r="T41" i="10"/>
  <c r="S41" i="10"/>
  <c r="X40" i="10"/>
  <c r="W40" i="10"/>
  <c r="T40" i="10"/>
  <c r="S40" i="10"/>
  <c r="X39" i="10"/>
  <c r="W39" i="10"/>
  <c r="T39" i="10"/>
  <c r="S39" i="10"/>
  <c r="Y38" i="10"/>
  <c r="X38" i="10"/>
  <c r="W38" i="10"/>
  <c r="U38" i="10"/>
  <c r="T38" i="10"/>
  <c r="S38" i="10"/>
  <c r="X37" i="10"/>
  <c r="W37" i="10"/>
  <c r="T37" i="10"/>
  <c r="S37" i="10"/>
  <c r="X36" i="10"/>
  <c r="W36" i="10"/>
  <c r="T36" i="10"/>
  <c r="S36" i="10"/>
  <c r="X35" i="10"/>
  <c r="W35" i="10"/>
  <c r="T35" i="10"/>
  <c r="S35" i="10"/>
  <c r="Y34" i="10"/>
  <c r="X34" i="10"/>
  <c r="W34" i="10"/>
  <c r="U34" i="10"/>
  <c r="T34" i="10"/>
  <c r="S34" i="10"/>
  <c r="X33" i="10"/>
  <c r="W33" i="10"/>
  <c r="T33" i="10"/>
  <c r="S33" i="10"/>
  <c r="U33" i="10" s="1"/>
  <c r="X32" i="10"/>
  <c r="W32" i="10"/>
  <c r="T32" i="10"/>
  <c r="S32" i="10"/>
  <c r="X31" i="10"/>
  <c r="W31" i="10"/>
  <c r="T31" i="10"/>
  <c r="S31" i="10"/>
  <c r="X30" i="10"/>
  <c r="W30" i="10"/>
  <c r="T30" i="10"/>
  <c r="S30" i="10"/>
  <c r="X29" i="10"/>
  <c r="Y29" i="10" s="1"/>
  <c r="W29" i="10"/>
  <c r="T29" i="10"/>
  <c r="S29" i="10"/>
  <c r="U29" i="10" s="1"/>
  <c r="Y28" i="10"/>
  <c r="X28" i="10"/>
  <c r="W28" i="10"/>
  <c r="U28" i="10"/>
  <c r="T28" i="10"/>
  <c r="S28" i="10"/>
  <c r="X27" i="10"/>
  <c r="W27" i="10"/>
  <c r="T27" i="10"/>
  <c r="S27" i="10"/>
  <c r="X26" i="10"/>
  <c r="Y26" i="10" s="1"/>
  <c r="W26" i="10"/>
  <c r="T26" i="10"/>
  <c r="S26" i="10"/>
  <c r="X25" i="10"/>
  <c r="W25" i="10"/>
  <c r="T25" i="10"/>
  <c r="S25" i="10"/>
  <c r="X24" i="10"/>
  <c r="W24" i="10"/>
  <c r="T24" i="10"/>
  <c r="S24" i="10"/>
  <c r="X23" i="10"/>
  <c r="W23" i="10"/>
  <c r="T23" i="10"/>
  <c r="S23" i="10"/>
  <c r="X22" i="10"/>
  <c r="W22" i="10"/>
  <c r="T22" i="10"/>
  <c r="S22" i="10"/>
  <c r="X21" i="10"/>
  <c r="W21" i="10"/>
  <c r="T21" i="10"/>
  <c r="S21" i="10"/>
  <c r="X20" i="10"/>
  <c r="W20" i="10"/>
  <c r="T20" i="10"/>
  <c r="S20" i="10"/>
  <c r="X19" i="10"/>
  <c r="W19" i="10"/>
  <c r="T19" i="10"/>
  <c r="S19" i="10"/>
  <c r="X18" i="10"/>
  <c r="W18" i="10"/>
  <c r="T18" i="10"/>
  <c r="S18" i="10"/>
  <c r="X17" i="10"/>
  <c r="W17" i="10"/>
  <c r="T17" i="10"/>
  <c r="S17" i="10"/>
  <c r="X16" i="10"/>
  <c r="W16" i="10"/>
  <c r="T16" i="10"/>
  <c r="S16" i="10"/>
  <c r="Y15" i="10"/>
  <c r="X15" i="10"/>
  <c r="W15" i="10"/>
  <c r="U15" i="10"/>
  <c r="T15" i="10"/>
  <c r="S15" i="10"/>
  <c r="X14" i="10"/>
  <c r="W14" i="10"/>
  <c r="T14" i="10"/>
  <c r="S14" i="10"/>
  <c r="X13" i="10"/>
  <c r="W13" i="10"/>
  <c r="T13" i="10"/>
  <c r="S13" i="10"/>
  <c r="X12" i="10"/>
  <c r="W12" i="10"/>
  <c r="T12" i="10"/>
  <c r="S12" i="10"/>
  <c r="X11" i="10"/>
  <c r="W11" i="10"/>
  <c r="T11" i="10"/>
  <c r="S11" i="10"/>
  <c r="X10" i="10"/>
  <c r="W10" i="10"/>
  <c r="T10" i="10"/>
  <c r="S10" i="10"/>
  <c r="X9" i="10"/>
  <c r="W9" i="10"/>
  <c r="T9" i="10"/>
  <c r="S9" i="10"/>
  <c r="X8" i="10"/>
  <c r="W8" i="10"/>
  <c r="T8" i="10"/>
  <c r="S8" i="10"/>
  <c r="Y7" i="10"/>
  <c r="X7" i="10"/>
  <c r="W7" i="10"/>
  <c r="U7" i="10"/>
  <c r="T7" i="10"/>
  <c r="S7" i="10"/>
  <c r="X6" i="10"/>
  <c r="W6" i="10"/>
  <c r="T6" i="10"/>
  <c r="S6" i="10"/>
  <c r="X5" i="10"/>
  <c r="W5" i="10"/>
  <c r="T5" i="10"/>
  <c r="U5" i="10" s="1"/>
  <c r="S5" i="10"/>
  <c r="X4" i="10"/>
  <c r="W4" i="10"/>
  <c r="T4" i="10"/>
  <c r="S4" i="10"/>
  <c r="X3" i="10"/>
  <c r="W3" i="10"/>
  <c r="T3" i="10"/>
  <c r="S3" i="10"/>
  <c r="Z2" i="10"/>
  <c r="Y2" i="10"/>
  <c r="X2" i="10"/>
  <c r="V2" i="10"/>
  <c r="U2" i="10"/>
  <c r="T2" i="10"/>
  <c r="U3" i="10" l="1"/>
  <c r="U19" i="10"/>
  <c r="U27" i="10"/>
  <c r="U30" i="10"/>
  <c r="U40" i="10"/>
  <c r="Y35" i="10"/>
  <c r="Y3" i="10"/>
  <c r="Y25" i="10"/>
  <c r="U23" i="10"/>
  <c r="U37" i="10"/>
  <c r="U39" i="10"/>
  <c r="Y17" i="10"/>
  <c r="U4" i="10"/>
  <c r="U31" i="10"/>
  <c r="Y5" i="10"/>
  <c r="U11" i="10"/>
  <c r="U18" i="10"/>
  <c r="Y10" i="10"/>
  <c r="U6" i="10"/>
  <c r="U9" i="10"/>
  <c r="U13" i="10"/>
  <c r="Y21" i="10"/>
  <c r="Y23" i="10"/>
  <c r="Y27" i="10"/>
  <c r="U32" i="10"/>
  <c r="U35" i="10"/>
  <c r="U42" i="10"/>
  <c r="U22" i="10"/>
  <c r="Y37" i="10"/>
  <c r="Y9" i="10"/>
  <c r="Y11" i="10"/>
  <c r="Y13" i="10"/>
  <c r="U26" i="10"/>
  <c r="Y40" i="10"/>
  <c r="U10" i="10"/>
  <c r="Y20" i="10"/>
  <c r="Y24" i="10"/>
  <c r="U41" i="10"/>
  <c r="Y32" i="10"/>
  <c r="U25" i="10"/>
  <c r="Y33" i="10"/>
  <c r="Y36" i="10"/>
  <c r="Y4" i="10"/>
  <c r="Y8" i="10"/>
  <c r="Y31" i="10"/>
  <c r="Y39" i="10"/>
  <c r="Y12" i="10"/>
  <c r="Y19" i="10"/>
  <c r="Y6" i="10"/>
  <c r="Y14" i="10"/>
  <c r="U17" i="10"/>
  <c r="U21" i="10"/>
  <c r="Y18" i="10"/>
  <c r="U36" i="10"/>
  <c r="Y43" i="10"/>
  <c r="U8" i="10"/>
  <c r="U12" i="10"/>
  <c r="U20" i="10"/>
  <c r="U24" i="10"/>
  <c r="U16" i="10"/>
  <c r="Y42" i="10"/>
  <c r="Y22" i="10"/>
  <c r="U14" i="10"/>
  <c r="Y16" i="10"/>
  <c r="Y30" i="10"/>
  <c r="AE48" i="10" l="1"/>
</calcChain>
</file>

<file path=xl/sharedStrings.xml><?xml version="1.0" encoding="utf-8"?>
<sst xmlns="http://schemas.openxmlformats.org/spreadsheetml/2006/main" count="69" uniqueCount="68">
  <si>
    <t>Feature</t>
  </si>
  <si>
    <t>Control n</t>
  </si>
  <si>
    <t>Control mean</t>
  </si>
  <si>
    <t>Control std</t>
  </si>
  <si>
    <t>H&amp;Y 2.0 n</t>
  </si>
  <si>
    <t>H&amp;Y 2.0 mean</t>
  </si>
  <si>
    <t>H&amp;Y 2.0 std</t>
  </si>
  <si>
    <t>H&amp;Y 2.5 n</t>
  </si>
  <si>
    <t>H&amp;Y 2.5 mean</t>
  </si>
  <si>
    <t>H&amp;Y 2.5 std</t>
  </si>
  <si>
    <t>H&amp;Y 3.0 n</t>
  </si>
  <si>
    <t>H&amp;Y 3.0 mean</t>
  </si>
  <si>
    <t>H&amp;Y 3.0 std</t>
  </si>
  <si>
    <t>Kruskal H</t>
  </si>
  <si>
    <t>Kruskal p</t>
  </si>
  <si>
    <t>swing_dur</t>
  </si>
  <si>
    <t>stance_pct_gc</t>
  </si>
  <si>
    <t>cadence</t>
  </si>
  <si>
    <t>double_support_time_pct</t>
  </si>
  <si>
    <t>hoehn_yahr rho</t>
  </si>
  <si>
    <t>hoehn_yahr p</t>
  </si>
  <si>
    <t>hoehn_yahr n</t>
  </si>
  <si>
    <t>peak_force_pct_bw</t>
  </si>
  <si>
    <t>time_to_peak</t>
  </si>
  <si>
    <t>time_to_peak_pct</t>
  </si>
  <si>
    <t>loading_rate_norm</t>
  </si>
  <si>
    <t>unloading_rate_norm</t>
  </si>
  <si>
    <t>total_impulse_norm</t>
  </si>
  <si>
    <t>mshape_ratio</t>
  </si>
  <si>
    <t>f1_pct_bw</t>
  </si>
  <si>
    <t>f2_pct_bw</t>
  </si>
  <si>
    <t>fvalley_pct_bw</t>
  </si>
  <si>
    <t>f1_f2_ratio</t>
  </si>
  <si>
    <t>time_to_f1_pct_gc</t>
  </si>
  <si>
    <t>time_to_f2_pct_gc</t>
  </si>
  <si>
    <t>f1_valley_diff_pct_bw</t>
  </si>
  <si>
    <t>f2_valley_diff_pct_bw</t>
  </si>
  <si>
    <t>midstance_rate_norm</t>
  </si>
  <si>
    <t>loading_impulse_norm</t>
  </si>
  <si>
    <t>pushoff_impulse_norm</t>
  </si>
  <si>
    <t>loading_pushoff_ratio</t>
  </si>
  <si>
    <t>stride_time_cv</t>
  </si>
  <si>
    <t>swing_dur_cv</t>
  </si>
  <si>
    <t>f1_cv</t>
  </si>
  <si>
    <t>f2_cv</t>
  </si>
  <si>
    <t>peak_force_cv</t>
  </si>
  <si>
    <t>stance_time_asym</t>
  </si>
  <si>
    <t>swing_time_asym</t>
  </si>
  <si>
    <t>peak_force_asym</t>
  </si>
  <si>
    <t>dominant_freq</t>
  </si>
  <si>
    <t>harmonic_ratio</t>
  </si>
  <si>
    <t>stride_band_power</t>
  </si>
  <si>
    <t>stride_power_ratio</t>
  </si>
  <si>
    <t>spectral_entropy</t>
  </si>
  <si>
    <t xml:space="preserve">Temporal </t>
  </si>
  <si>
    <t>General Force</t>
  </si>
  <si>
    <t>M-Shape Force</t>
  </si>
  <si>
    <t>Variability</t>
  </si>
  <si>
    <t>Frequency</t>
  </si>
  <si>
    <t>Passes BH?</t>
  </si>
  <si>
    <t>Passes Both?</t>
  </si>
  <si>
    <t>Asymmetry</t>
  </si>
  <si>
    <t>H&amp;Y m</t>
  </si>
  <si>
    <t>H&amp;Y Rank</t>
  </si>
  <si>
    <r>
      <rPr>
        <sz val="11"/>
        <rFont val="Calibri"/>
        <family val="2"/>
      </rPr>
      <t xml:space="preserve">H&amp;Y </t>
    </r>
    <r>
      <rPr>
        <b/>
        <sz val="11"/>
        <rFont val="Calibri"/>
        <family val="2"/>
      </rPr>
      <t>BH</t>
    </r>
  </si>
  <si>
    <t>Spearman m</t>
  </si>
  <si>
    <t>Spearman Rank</t>
  </si>
  <si>
    <t>Spearman BH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</si>
</sst>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  <font>
      <sz val="14"/>
      <color rgb="FF000000"/>
      <name val="Courier New"/>
      <family val="1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0" fontId="1" fillId="0" borderId="2" xfId="0" applyFont="1" applyBorder="1" applyAlignment="1">
      <alignment horizontal="center" vertical="top"/>
    </xf>
    <xf numFmtId="0" fontId="3" fillId="0" borderId="0" xfId="0" applyFont="1"/>
    <xf numFmtId="2" fontId="1" fillId="0" borderId="1" xfId="0" applyNumberFormat="1" applyFont="1" applyBorder="1" applyAlignment="1">
      <alignment horizontal="center" vertical="top"/>
    </xf>
    <xf numFmtId="2" fontId="0" fillId="0" borderId="0" xfId="0" applyNumberFormat="1"/>
  </cellXfs>
  <cellStyles count="1">
    <cellStyle name="Normal" xfId="0" builtinId="0"/>
  </cellStyles>
  <dxfs count="7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85CE46-4FE1-EC4F-BBD1-7C4952814FD9}">
  <dimension ref="A1:AE79"/>
  <sheetViews>
    <sheetView tabSelected="1" zoomScale="75" workbookViewId="0"/>
  </sheetViews>
  <sheetFormatPr baseColWidth="10" defaultRowHeight="15" x14ac:dyDescent="0.2"/>
  <cols>
    <col min="1" max="1" width="21.1640625" bestFit="1" customWidth="1"/>
    <col min="2" max="2" width="8.33203125" bestFit="1" customWidth="1"/>
    <col min="3" max="3" width="12.1640625" bestFit="1" customWidth="1"/>
    <col min="4" max="4" width="12.33203125" customWidth="1"/>
    <col min="5" max="5" width="8.83203125" bestFit="1" customWidth="1"/>
    <col min="6" max="6" width="12.1640625" bestFit="1" customWidth="1"/>
    <col min="7" max="7" width="12.83203125" customWidth="1"/>
    <col min="8" max="8" width="8.83203125" bestFit="1" customWidth="1"/>
    <col min="9" max="10" width="12.1640625" bestFit="1" customWidth="1"/>
    <col min="11" max="11" width="8.83203125" bestFit="1" customWidth="1"/>
    <col min="12" max="12" width="12.1640625" bestFit="1" customWidth="1"/>
    <col min="13" max="13" width="12.5" customWidth="1"/>
    <col min="14" max="14" width="12.1640625" style="6" bestFit="1" customWidth="1"/>
    <col min="15" max="15" width="12.1640625" bestFit="1" customWidth="1"/>
    <col min="16" max="16" width="13.33203125" bestFit="1" customWidth="1"/>
    <col min="17" max="17" width="12.1640625" style="6" bestFit="1" customWidth="1"/>
    <col min="18" max="18" width="11.6640625" bestFit="1" customWidth="1"/>
    <col min="19" max="19" width="6.5" bestFit="1" customWidth="1"/>
    <col min="20" max="20" width="8.6640625" bestFit="1" customWidth="1"/>
    <col min="21" max="21" width="12.1640625" bestFit="1" customWidth="1"/>
    <col min="22" max="22" width="9.33203125" bestFit="1" customWidth="1"/>
    <col min="23" max="23" width="10.6640625" bestFit="1" customWidth="1"/>
    <col min="24" max="24" width="12.83203125" bestFit="1" customWidth="1"/>
    <col min="25" max="25" width="12.1640625" bestFit="1" customWidth="1"/>
    <col min="26" max="26" width="9.33203125" bestFit="1" customWidth="1"/>
    <col min="27" max="27" width="10.83203125" bestFit="1" customWidth="1"/>
  </cols>
  <sheetData>
    <row r="1" spans="1:3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5" t="s">
        <v>13</v>
      </c>
      <c r="O1" s="1" t="s">
        <v>14</v>
      </c>
      <c r="P1" s="5" t="s">
        <v>19</v>
      </c>
      <c r="Q1" s="1" t="s">
        <v>20</v>
      </c>
      <c r="R1" s="1" t="s">
        <v>21</v>
      </c>
      <c r="S1" s="3" t="s">
        <v>62</v>
      </c>
      <c r="T1" s="3" t="s">
        <v>63</v>
      </c>
      <c r="U1" s="3" t="s">
        <v>64</v>
      </c>
      <c r="V1" s="3" t="s">
        <v>59</v>
      </c>
      <c r="W1" s="3" t="s">
        <v>65</v>
      </c>
      <c r="X1" s="3" t="s">
        <v>66</v>
      </c>
      <c r="Y1" s="3" t="s">
        <v>67</v>
      </c>
      <c r="Z1" s="3" t="s">
        <v>59</v>
      </c>
      <c r="AA1" s="3" t="s">
        <v>60</v>
      </c>
      <c r="AD1" s="3"/>
    </row>
    <row r="2" spans="1:30" x14ac:dyDescent="0.2">
      <c r="A2" s="2" t="s">
        <v>54</v>
      </c>
      <c r="P2" s="6"/>
      <c r="Q2"/>
      <c r="T2" t="str">
        <f t="shared" ref="T2:T43" si="0">IF(ISBLANK(O2),"",_xlfn.RANK.EQ(O2,$O$2:$O$43,1))</f>
        <v/>
      </c>
      <c r="U2" t="str">
        <f t="shared" ref="U2:U43" si="1">IF(ISBLANK(O2),"",T2*0.05/S2)</f>
        <v/>
      </c>
      <c r="V2" t="str">
        <f>IF(ISBLANK(O2),"",IF(O2&lt;=U2,"YES","no"))</f>
        <v/>
      </c>
      <c r="X2" t="str">
        <f>IF(ISBLANK(R2),"",_xlfn.RANK.EQ(R2,$O$2:$O$43,1))</f>
        <v/>
      </c>
      <c r="Y2" t="str">
        <f t="shared" ref="Y2:Y43" si="2">IF(ISBLANK(R2),"",X2*0.05/W2)</f>
        <v/>
      </c>
      <c r="Z2" t="str">
        <f>IF(ISBLANK(R2),"",IF(R2&lt;=Y2,"YES","no"))</f>
        <v/>
      </c>
    </row>
    <row r="3" spans="1:30" x14ac:dyDescent="0.2">
      <c r="A3" t="s">
        <v>15</v>
      </c>
      <c r="B3">
        <v>92</v>
      </c>
      <c r="C3">
        <v>0.43335810470153829</v>
      </c>
      <c r="D3">
        <v>0.56173938535370471</v>
      </c>
      <c r="E3">
        <v>103</v>
      </c>
      <c r="F3">
        <v>0.35570076684052321</v>
      </c>
      <c r="G3">
        <v>4.7598810171255557E-2</v>
      </c>
      <c r="H3">
        <v>81</v>
      </c>
      <c r="I3">
        <v>0.32881410189916438</v>
      </c>
      <c r="J3">
        <v>5.219564227707707E-2</v>
      </c>
      <c r="K3">
        <v>24</v>
      </c>
      <c r="L3">
        <v>0.3721948633776917</v>
      </c>
      <c r="M3">
        <v>5.0376190089771268E-2</v>
      </c>
      <c r="N3">
        <v>39.914999807810077</v>
      </c>
      <c r="O3">
        <v>1.1106425627963081E-8</v>
      </c>
      <c r="P3" s="6">
        <v>-0.10577704152640111</v>
      </c>
      <c r="Q3">
        <v>0.12835673932689159</v>
      </c>
      <c r="R3">
        <v>208</v>
      </c>
      <c r="S3">
        <f t="shared" ref="S3:S43" si="3">COUNT($O$2:$O$43)</f>
        <v>36</v>
      </c>
      <c r="T3">
        <f t="shared" si="0"/>
        <v>6</v>
      </c>
      <c r="U3">
        <f t="shared" si="1"/>
        <v>8.333333333333335E-3</v>
      </c>
      <c r="V3" t="str">
        <f>IF(ISBLANK(O3),"",IF(O3&lt;=U3,"YES","NO"))</f>
        <v>YES</v>
      </c>
      <c r="W3">
        <f t="shared" ref="W3:W43" si="4">COUNT($O$2:$O$43)</f>
        <v>36</v>
      </c>
      <c r="X3">
        <f t="shared" ref="X3:X43" si="5">IF(ISBLANK(R3),"",_xlfn.RANK.EQ(Q3,$Q$2:$Q$43,1))</f>
        <v>15</v>
      </c>
      <c r="Y3">
        <f t="shared" si="2"/>
        <v>2.0833333333333332E-2</v>
      </c>
      <c r="Z3" t="str">
        <f>IF(ISBLANK(R3),"",IF(Q3&lt;=Y3,"YES","NO"))</f>
        <v>NO</v>
      </c>
      <c r="AA3" t="str">
        <f>IF(AND(V3="YES",Z3="YES"),"YES","NO")</f>
        <v>NO</v>
      </c>
    </row>
    <row r="4" spans="1:30" x14ac:dyDescent="0.2">
      <c r="A4" t="s">
        <v>16</v>
      </c>
      <c r="B4">
        <v>92</v>
      </c>
      <c r="C4">
        <v>66.062886761448425</v>
      </c>
      <c r="D4">
        <v>4.0095888711086269</v>
      </c>
      <c r="E4">
        <v>103</v>
      </c>
      <c r="F4">
        <v>67.860657992052907</v>
      </c>
      <c r="G4">
        <v>2.58263608868578</v>
      </c>
      <c r="H4">
        <v>81</v>
      </c>
      <c r="I4">
        <v>70.286023939315967</v>
      </c>
      <c r="J4">
        <v>3.8452602589559088</v>
      </c>
      <c r="K4">
        <v>24</v>
      </c>
      <c r="L4">
        <v>69.602522683188724</v>
      </c>
      <c r="M4">
        <v>3.483334948028308</v>
      </c>
      <c r="N4">
        <v>62.529133959240369</v>
      </c>
      <c r="O4">
        <v>1.6933175064806291E-13</v>
      </c>
      <c r="P4" s="6">
        <v>0.28753869975673552</v>
      </c>
      <c r="Q4">
        <v>2.539847696098814E-5</v>
      </c>
      <c r="R4">
        <v>208</v>
      </c>
      <c r="S4">
        <f t="shared" si="3"/>
        <v>36</v>
      </c>
      <c r="T4">
        <f t="shared" si="0"/>
        <v>2</v>
      </c>
      <c r="U4">
        <f t="shared" si="1"/>
        <v>2.7777777777777779E-3</v>
      </c>
      <c r="V4" t="str">
        <f t="shared" ref="V4:V43" si="6">IF(ISBLANK(O4),"",IF(O4&lt;=U4,"YES","NO"))</f>
        <v>YES</v>
      </c>
      <c r="W4">
        <f t="shared" si="4"/>
        <v>36</v>
      </c>
      <c r="X4">
        <f t="shared" si="5"/>
        <v>3</v>
      </c>
      <c r="Y4">
        <f t="shared" si="2"/>
        <v>4.1666666666666675E-3</v>
      </c>
      <c r="Z4" t="str">
        <f t="shared" ref="Z4:Z43" si="7">IF(ISBLANK(R4),"",IF(Q4&lt;=Y4,"YES","NO"))</f>
        <v>YES</v>
      </c>
      <c r="AA4" t="str">
        <f t="shared" ref="AA4:AA43" si="8">IF(AND(V4="YES",Z4="YES"),"YES","NO")</f>
        <v>YES</v>
      </c>
    </row>
    <row r="5" spans="1:30" x14ac:dyDescent="0.2">
      <c r="A5" t="s">
        <v>17</v>
      </c>
      <c r="B5">
        <v>92</v>
      </c>
      <c r="C5">
        <v>53.95433017733599</v>
      </c>
      <c r="D5">
        <v>5.2041772122445229</v>
      </c>
      <c r="E5">
        <v>103</v>
      </c>
      <c r="F5">
        <v>54.683629976258757</v>
      </c>
      <c r="G5">
        <v>5.0698719773522329</v>
      </c>
      <c r="H5">
        <v>81</v>
      </c>
      <c r="I5">
        <v>54.549709219095817</v>
      </c>
      <c r="J5">
        <v>4.930586738885876</v>
      </c>
      <c r="K5">
        <v>24</v>
      </c>
      <c r="L5">
        <v>49.812948123326457</v>
      </c>
      <c r="M5">
        <v>9.1112829783425653</v>
      </c>
      <c r="N5">
        <v>6.3555522573296557</v>
      </c>
      <c r="O5">
        <v>9.5536586984050639E-2</v>
      </c>
      <c r="P5" s="6">
        <v>-8.9707179201345341E-2</v>
      </c>
      <c r="Q5">
        <v>0.1975447565261482</v>
      </c>
      <c r="R5">
        <v>208</v>
      </c>
      <c r="S5">
        <f t="shared" si="3"/>
        <v>36</v>
      </c>
      <c r="T5">
        <f t="shared" si="0"/>
        <v>21</v>
      </c>
      <c r="U5">
        <f t="shared" si="1"/>
        <v>2.9166666666666667E-2</v>
      </c>
      <c r="V5" t="str">
        <f t="shared" si="6"/>
        <v>NO</v>
      </c>
      <c r="W5">
        <f t="shared" si="4"/>
        <v>36</v>
      </c>
      <c r="X5">
        <f t="shared" si="5"/>
        <v>20</v>
      </c>
      <c r="Y5">
        <f t="shared" si="2"/>
        <v>2.7777777777777776E-2</v>
      </c>
      <c r="Z5" t="str">
        <f t="shared" si="7"/>
        <v>NO</v>
      </c>
      <c r="AA5" t="str">
        <f t="shared" si="8"/>
        <v>NO</v>
      </c>
    </row>
    <row r="6" spans="1:30" x14ac:dyDescent="0.2">
      <c r="A6" t="s">
        <v>18</v>
      </c>
      <c r="B6">
        <v>91</v>
      </c>
      <c r="C6">
        <v>34.72428291053857</v>
      </c>
      <c r="D6">
        <v>5.7974444824381024</v>
      </c>
      <c r="E6">
        <v>103</v>
      </c>
      <c r="F6">
        <v>38.73147407255567</v>
      </c>
      <c r="G6">
        <v>5.6376194321986874</v>
      </c>
      <c r="H6">
        <v>80</v>
      </c>
      <c r="I6">
        <v>44.942257766731323</v>
      </c>
      <c r="J6">
        <v>7.2860316626167689</v>
      </c>
      <c r="K6">
        <v>24</v>
      </c>
      <c r="L6">
        <v>43.775545582009691</v>
      </c>
      <c r="M6">
        <v>8.5148434875895447</v>
      </c>
      <c r="N6">
        <v>90.965812310130204</v>
      </c>
      <c r="O6">
        <v>1.358632239246219E-19</v>
      </c>
      <c r="P6" s="6">
        <v>0.35924369365046571</v>
      </c>
      <c r="Q6">
        <v>1.061636048997015E-7</v>
      </c>
      <c r="R6">
        <v>207</v>
      </c>
      <c r="S6">
        <f t="shared" si="3"/>
        <v>36</v>
      </c>
      <c r="T6">
        <f t="shared" si="0"/>
        <v>1</v>
      </c>
      <c r="U6">
        <f t="shared" si="1"/>
        <v>1.3888888888888889E-3</v>
      </c>
      <c r="V6" t="str">
        <f t="shared" si="6"/>
        <v>YES</v>
      </c>
      <c r="W6">
        <f t="shared" si="4"/>
        <v>36</v>
      </c>
      <c r="X6">
        <f t="shared" si="5"/>
        <v>1</v>
      </c>
      <c r="Y6">
        <f t="shared" si="2"/>
        <v>1.3888888888888889E-3</v>
      </c>
      <c r="Z6" t="str">
        <f t="shared" si="7"/>
        <v>YES</v>
      </c>
      <c r="AA6" t="str">
        <f t="shared" si="8"/>
        <v>YES</v>
      </c>
    </row>
    <row r="7" spans="1:30" x14ac:dyDescent="0.2">
      <c r="A7" s="2" t="s">
        <v>55</v>
      </c>
      <c r="P7" s="6"/>
      <c r="Q7"/>
      <c r="S7">
        <f t="shared" si="3"/>
        <v>36</v>
      </c>
      <c r="T7" t="str">
        <f t="shared" si="0"/>
        <v/>
      </c>
      <c r="U7" t="str">
        <f t="shared" si="1"/>
        <v/>
      </c>
      <c r="V7" t="str">
        <f t="shared" si="6"/>
        <v/>
      </c>
      <c r="W7">
        <f t="shared" si="4"/>
        <v>36</v>
      </c>
      <c r="X7" t="str">
        <f t="shared" si="5"/>
        <v/>
      </c>
      <c r="Y7" t="str">
        <f t="shared" si="2"/>
        <v/>
      </c>
      <c r="Z7" t="str">
        <f t="shared" si="7"/>
        <v/>
      </c>
      <c r="AA7" t="str">
        <f t="shared" si="8"/>
        <v>NO</v>
      </c>
    </row>
    <row r="8" spans="1:30" x14ac:dyDescent="0.2">
      <c r="A8" t="s">
        <v>22</v>
      </c>
      <c r="B8">
        <v>91</v>
      </c>
      <c r="C8">
        <v>140.5528964665543</v>
      </c>
      <c r="D8">
        <v>18.649168656511549</v>
      </c>
      <c r="E8">
        <v>103</v>
      </c>
      <c r="F8">
        <v>137.91133261919401</v>
      </c>
      <c r="G8">
        <v>16.962759420975932</v>
      </c>
      <c r="H8">
        <v>80</v>
      </c>
      <c r="I8">
        <v>141.84001982202039</v>
      </c>
      <c r="J8">
        <v>16.452207403006788</v>
      </c>
      <c r="K8">
        <v>21</v>
      </c>
      <c r="L8">
        <v>142.25340093732001</v>
      </c>
      <c r="M8">
        <v>14.18970186707857</v>
      </c>
      <c r="N8">
        <v>4.0640297251390907</v>
      </c>
      <c r="O8">
        <v>0.25463256709032478</v>
      </c>
      <c r="P8" s="6">
        <v>0.14268002626116169</v>
      </c>
      <c r="Q8">
        <v>4.1772106699696471E-2</v>
      </c>
      <c r="R8">
        <v>204</v>
      </c>
      <c r="S8">
        <f t="shared" si="3"/>
        <v>36</v>
      </c>
      <c r="T8">
        <f t="shared" si="0"/>
        <v>29</v>
      </c>
      <c r="U8">
        <f t="shared" si="1"/>
        <v>4.027777777777778E-2</v>
      </c>
      <c r="V8" t="str">
        <f t="shared" si="6"/>
        <v>NO</v>
      </c>
      <c r="W8">
        <f t="shared" si="4"/>
        <v>36</v>
      </c>
      <c r="X8">
        <f t="shared" si="5"/>
        <v>8</v>
      </c>
      <c r="Y8">
        <f t="shared" si="2"/>
        <v>1.1111111111111112E-2</v>
      </c>
      <c r="Z8" t="str">
        <f t="shared" si="7"/>
        <v>NO</v>
      </c>
      <c r="AA8" t="str">
        <f t="shared" si="8"/>
        <v>NO</v>
      </c>
    </row>
    <row r="9" spans="1:30" x14ac:dyDescent="0.2">
      <c r="A9" t="s">
        <v>23</v>
      </c>
      <c r="B9">
        <v>92</v>
      </c>
      <c r="C9">
        <v>0.28399936081312271</v>
      </c>
      <c r="D9">
        <v>0.13950448921803171</v>
      </c>
      <c r="E9">
        <v>103</v>
      </c>
      <c r="F9">
        <v>0.29100149542658021</v>
      </c>
      <c r="G9">
        <v>0.12310833470863609</v>
      </c>
      <c r="H9">
        <v>81</v>
      </c>
      <c r="I9">
        <v>0.32452472684556732</v>
      </c>
      <c r="J9">
        <v>0.13576789271853379</v>
      </c>
      <c r="K9">
        <v>24</v>
      </c>
      <c r="L9">
        <v>0.36083581922126939</v>
      </c>
      <c r="M9">
        <v>0.22733362206341751</v>
      </c>
      <c r="N9">
        <v>6.9362559620318569</v>
      </c>
      <c r="O9">
        <v>7.3957504219206674E-2</v>
      </c>
      <c r="P9" s="6">
        <v>9.8546414419136835E-2</v>
      </c>
      <c r="Q9">
        <v>0.15673421733460249</v>
      </c>
      <c r="R9">
        <v>208</v>
      </c>
      <c r="S9">
        <f t="shared" si="3"/>
        <v>36</v>
      </c>
      <c r="T9">
        <f t="shared" si="0"/>
        <v>20</v>
      </c>
      <c r="U9">
        <f t="shared" si="1"/>
        <v>2.7777777777777776E-2</v>
      </c>
      <c r="V9" t="str">
        <f t="shared" si="6"/>
        <v>NO</v>
      </c>
      <c r="W9">
        <f t="shared" si="4"/>
        <v>36</v>
      </c>
      <c r="X9">
        <f t="shared" si="5"/>
        <v>18</v>
      </c>
      <c r="Y9">
        <f t="shared" si="2"/>
        <v>2.5000000000000001E-2</v>
      </c>
      <c r="Z9" t="str">
        <f t="shared" si="7"/>
        <v>NO</v>
      </c>
      <c r="AA9" t="str">
        <f t="shared" si="8"/>
        <v>NO</v>
      </c>
    </row>
    <row r="10" spans="1:30" x14ac:dyDescent="0.2">
      <c r="A10" t="s">
        <v>24</v>
      </c>
      <c r="B10">
        <v>92</v>
      </c>
      <c r="C10">
        <v>38.493228593819197</v>
      </c>
      <c r="D10">
        <v>19.35696194679354</v>
      </c>
      <c r="E10">
        <v>103</v>
      </c>
      <c r="F10">
        <v>38.237170050678429</v>
      </c>
      <c r="G10">
        <v>15.73224756321058</v>
      </c>
      <c r="H10">
        <v>81</v>
      </c>
      <c r="I10">
        <v>40.674494801160918</v>
      </c>
      <c r="J10">
        <v>15.49287854470789</v>
      </c>
      <c r="K10">
        <v>24</v>
      </c>
      <c r="L10">
        <v>37.836409823245774</v>
      </c>
      <c r="M10">
        <v>16.138296026991618</v>
      </c>
      <c r="N10">
        <v>4.7421012244833083</v>
      </c>
      <c r="O10">
        <v>0.19168555547440669</v>
      </c>
      <c r="P10" s="6">
        <v>3.0270510230202451E-2</v>
      </c>
      <c r="Q10">
        <v>0.66426221959877496</v>
      </c>
      <c r="R10">
        <v>208</v>
      </c>
      <c r="S10">
        <f t="shared" si="3"/>
        <v>36</v>
      </c>
      <c r="T10">
        <f t="shared" si="0"/>
        <v>28</v>
      </c>
      <c r="U10">
        <f t="shared" si="1"/>
        <v>3.888888888888889E-2</v>
      </c>
      <c r="V10" t="str">
        <f t="shared" si="6"/>
        <v>NO</v>
      </c>
      <c r="W10">
        <f t="shared" si="4"/>
        <v>36</v>
      </c>
      <c r="X10">
        <f t="shared" si="5"/>
        <v>29</v>
      </c>
      <c r="Y10">
        <f t="shared" si="2"/>
        <v>4.027777777777778E-2</v>
      </c>
      <c r="Z10" t="str">
        <f t="shared" si="7"/>
        <v>NO</v>
      </c>
      <c r="AA10" t="str">
        <f t="shared" si="8"/>
        <v>NO</v>
      </c>
    </row>
    <row r="11" spans="1:30" x14ac:dyDescent="0.2">
      <c r="A11" t="s">
        <v>25</v>
      </c>
      <c r="B11">
        <v>91</v>
      </c>
      <c r="C11">
        <v>6.7645399280921206</v>
      </c>
      <c r="D11">
        <v>2.9384950364795128</v>
      </c>
      <c r="E11">
        <v>103</v>
      </c>
      <c r="F11">
        <v>6.234911644100559</v>
      </c>
      <c r="G11">
        <v>2.622176879243836</v>
      </c>
      <c r="H11">
        <v>80</v>
      </c>
      <c r="I11">
        <v>5.895219215186243</v>
      </c>
      <c r="J11">
        <v>2.8637514672112832</v>
      </c>
      <c r="K11">
        <v>21</v>
      </c>
      <c r="L11">
        <v>6.56961195526174</v>
      </c>
      <c r="M11">
        <v>3.0355143769289081</v>
      </c>
      <c r="N11">
        <v>5.1812854650169902</v>
      </c>
      <c r="O11">
        <v>0.15899375788437811</v>
      </c>
      <c r="P11" s="6">
        <v>-1.3292540906844541E-2</v>
      </c>
      <c r="Q11">
        <v>0.85033016778245851</v>
      </c>
      <c r="R11">
        <v>204</v>
      </c>
      <c r="S11">
        <f t="shared" si="3"/>
        <v>36</v>
      </c>
      <c r="T11">
        <f t="shared" si="0"/>
        <v>25</v>
      </c>
      <c r="U11">
        <f t="shared" si="1"/>
        <v>3.4722222222222224E-2</v>
      </c>
      <c r="V11" t="str">
        <f t="shared" si="6"/>
        <v>NO</v>
      </c>
      <c r="W11">
        <f t="shared" si="4"/>
        <v>36</v>
      </c>
      <c r="X11">
        <f t="shared" si="5"/>
        <v>34</v>
      </c>
      <c r="Y11">
        <f t="shared" si="2"/>
        <v>4.7222222222222228E-2</v>
      </c>
      <c r="Z11" t="str">
        <f t="shared" si="7"/>
        <v>NO</v>
      </c>
      <c r="AA11" t="str">
        <f t="shared" si="8"/>
        <v>NO</v>
      </c>
    </row>
    <row r="12" spans="1:30" x14ac:dyDescent="0.2">
      <c r="A12" t="s">
        <v>26</v>
      </c>
      <c r="B12">
        <v>91</v>
      </c>
      <c r="C12">
        <v>3.923173515623763</v>
      </c>
      <c r="D12">
        <v>1.9826006299482279</v>
      </c>
      <c r="E12">
        <v>103</v>
      </c>
      <c r="F12">
        <v>3.5410873465744568</v>
      </c>
      <c r="G12">
        <v>1.438173210885531</v>
      </c>
      <c r="H12">
        <v>80</v>
      </c>
      <c r="I12">
        <v>3.6176933697983209</v>
      </c>
      <c r="J12">
        <v>1.2295502254887909</v>
      </c>
      <c r="K12">
        <v>21</v>
      </c>
      <c r="L12">
        <v>3.063530269550387</v>
      </c>
      <c r="M12">
        <v>0.86017597339874752</v>
      </c>
      <c r="N12">
        <v>4.9156782486466497</v>
      </c>
      <c r="O12">
        <v>0.17807675459713129</v>
      </c>
      <c r="P12" s="6">
        <v>1.8390920652043331E-2</v>
      </c>
      <c r="Q12">
        <v>0.79402858796977938</v>
      </c>
      <c r="R12">
        <v>204</v>
      </c>
      <c r="S12">
        <f t="shared" si="3"/>
        <v>36</v>
      </c>
      <c r="T12">
        <f t="shared" si="0"/>
        <v>27</v>
      </c>
      <c r="U12">
        <f t="shared" si="1"/>
        <v>3.7500000000000006E-2</v>
      </c>
      <c r="V12" t="str">
        <f t="shared" si="6"/>
        <v>NO</v>
      </c>
      <c r="W12">
        <f t="shared" si="4"/>
        <v>36</v>
      </c>
      <c r="X12">
        <f t="shared" si="5"/>
        <v>31</v>
      </c>
      <c r="Y12">
        <f t="shared" si="2"/>
        <v>4.3055555555555555E-2</v>
      </c>
      <c r="Z12" t="str">
        <f t="shared" si="7"/>
        <v>NO</v>
      </c>
      <c r="AA12" t="str">
        <f t="shared" si="8"/>
        <v>NO</v>
      </c>
    </row>
    <row r="13" spans="1:30" x14ac:dyDescent="0.2">
      <c r="A13" t="s">
        <v>27</v>
      </c>
      <c r="B13">
        <v>91</v>
      </c>
      <c r="C13">
        <v>0.6941466115738163</v>
      </c>
      <c r="D13">
        <v>9.9809995698666776E-2</v>
      </c>
      <c r="E13">
        <v>103</v>
      </c>
      <c r="F13">
        <v>0.69084274742967589</v>
      </c>
      <c r="G13">
        <v>0.1205492490460866</v>
      </c>
      <c r="H13">
        <v>80</v>
      </c>
      <c r="I13">
        <v>0.71214902528501844</v>
      </c>
      <c r="J13">
        <v>0.10031059590816729</v>
      </c>
      <c r="K13">
        <v>21</v>
      </c>
      <c r="L13">
        <v>0.7309938407917802</v>
      </c>
      <c r="M13">
        <v>0.13887241119756891</v>
      </c>
      <c r="N13">
        <v>3.839552923407195</v>
      </c>
      <c r="O13">
        <v>0.27931886171833348</v>
      </c>
      <c r="P13" s="6">
        <v>0.1098908162917317</v>
      </c>
      <c r="Q13">
        <v>0.1176643949632149</v>
      </c>
      <c r="R13">
        <v>204</v>
      </c>
      <c r="S13">
        <f t="shared" si="3"/>
        <v>36</v>
      </c>
      <c r="T13">
        <f t="shared" si="0"/>
        <v>30</v>
      </c>
      <c r="U13">
        <f t="shared" si="1"/>
        <v>4.1666666666666664E-2</v>
      </c>
      <c r="V13" t="str">
        <f t="shared" si="6"/>
        <v>NO</v>
      </c>
      <c r="W13">
        <f t="shared" si="4"/>
        <v>36</v>
      </c>
      <c r="X13">
        <f t="shared" si="5"/>
        <v>14</v>
      </c>
      <c r="Y13">
        <f t="shared" si="2"/>
        <v>1.9444444444444445E-2</v>
      </c>
      <c r="Z13" t="str">
        <f t="shared" si="7"/>
        <v>NO</v>
      </c>
      <c r="AA13" t="str">
        <f t="shared" si="8"/>
        <v>NO</v>
      </c>
    </row>
    <row r="14" spans="1:30" x14ac:dyDescent="0.2">
      <c r="A14" t="s">
        <v>28</v>
      </c>
      <c r="B14">
        <v>92</v>
      </c>
      <c r="C14">
        <v>0.80491756590562868</v>
      </c>
      <c r="D14">
        <v>0.23882501545277701</v>
      </c>
      <c r="E14">
        <v>103</v>
      </c>
      <c r="F14">
        <v>0.72217977330881533</v>
      </c>
      <c r="G14">
        <v>0.29160826236075482</v>
      </c>
      <c r="H14">
        <v>81</v>
      </c>
      <c r="I14">
        <v>0.5849024166407002</v>
      </c>
      <c r="J14">
        <v>0.35159199094674898</v>
      </c>
      <c r="K14">
        <v>24</v>
      </c>
      <c r="L14">
        <v>0.37172065457721287</v>
      </c>
      <c r="M14">
        <v>0.33231290617708342</v>
      </c>
      <c r="N14">
        <v>41.695555617100048</v>
      </c>
      <c r="O14">
        <v>4.6555898251530052E-9</v>
      </c>
      <c r="P14" s="6">
        <v>-0.27574119543831033</v>
      </c>
      <c r="Q14">
        <v>5.5478161343669903E-5</v>
      </c>
      <c r="R14">
        <v>208</v>
      </c>
      <c r="S14">
        <f t="shared" si="3"/>
        <v>36</v>
      </c>
      <c r="T14">
        <f t="shared" si="0"/>
        <v>5</v>
      </c>
      <c r="U14">
        <f t="shared" si="1"/>
        <v>6.9444444444444441E-3</v>
      </c>
      <c r="V14" t="str">
        <f t="shared" si="6"/>
        <v>YES</v>
      </c>
      <c r="W14">
        <f t="shared" si="4"/>
        <v>36</v>
      </c>
      <c r="X14">
        <f t="shared" si="5"/>
        <v>4</v>
      </c>
      <c r="Y14">
        <f t="shared" si="2"/>
        <v>5.5555555555555558E-3</v>
      </c>
      <c r="Z14" t="str">
        <f t="shared" si="7"/>
        <v>YES</v>
      </c>
      <c r="AA14" t="str">
        <f t="shared" si="8"/>
        <v>YES</v>
      </c>
    </row>
    <row r="15" spans="1:30" x14ac:dyDescent="0.2">
      <c r="A15" s="2" t="s">
        <v>56</v>
      </c>
      <c r="P15" s="6"/>
      <c r="Q15"/>
      <c r="S15">
        <f t="shared" si="3"/>
        <v>36</v>
      </c>
      <c r="T15" t="str">
        <f t="shared" si="0"/>
        <v/>
      </c>
      <c r="U15" t="str">
        <f t="shared" si="1"/>
        <v/>
      </c>
      <c r="V15" t="str">
        <f t="shared" si="6"/>
        <v/>
      </c>
      <c r="W15">
        <f t="shared" si="4"/>
        <v>36</v>
      </c>
      <c r="X15" t="str">
        <f t="shared" si="5"/>
        <v/>
      </c>
      <c r="Y15" t="str">
        <f t="shared" si="2"/>
        <v/>
      </c>
      <c r="Z15" t="str">
        <f t="shared" si="7"/>
        <v/>
      </c>
      <c r="AA15" t="str">
        <f t="shared" si="8"/>
        <v>NO</v>
      </c>
    </row>
    <row r="16" spans="1:30" x14ac:dyDescent="0.2">
      <c r="A16" t="s">
        <v>29</v>
      </c>
      <c r="B16">
        <v>91</v>
      </c>
      <c r="C16">
        <v>136.11191284620881</v>
      </c>
      <c r="D16">
        <v>19.530171054127958</v>
      </c>
      <c r="E16">
        <v>103</v>
      </c>
      <c r="F16">
        <v>132.55706966537451</v>
      </c>
      <c r="G16">
        <v>20.476758337979629</v>
      </c>
      <c r="H16">
        <v>80</v>
      </c>
      <c r="I16">
        <v>135.7527526542921</v>
      </c>
      <c r="J16">
        <v>21.121441477760872</v>
      </c>
      <c r="K16">
        <v>21</v>
      </c>
      <c r="L16">
        <v>131.89701446294359</v>
      </c>
      <c r="M16">
        <v>29.472855116806109</v>
      </c>
      <c r="N16">
        <v>2.0434200872942641</v>
      </c>
      <c r="O16">
        <v>0.56344378614284185</v>
      </c>
      <c r="P16" s="6">
        <v>0.10100870370420879</v>
      </c>
      <c r="Q16">
        <v>0.15057401128621081</v>
      </c>
      <c r="R16">
        <v>204</v>
      </c>
      <c r="S16">
        <f t="shared" si="3"/>
        <v>36</v>
      </c>
      <c r="T16">
        <f t="shared" si="0"/>
        <v>33</v>
      </c>
      <c r="U16">
        <f t="shared" si="1"/>
        <v>4.5833333333333337E-2</v>
      </c>
      <c r="V16" t="str">
        <f t="shared" si="6"/>
        <v>NO</v>
      </c>
      <c r="W16">
        <f t="shared" si="4"/>
        <v>36</v>
      </c>
      <c r="X16">
        <f t="shared" si="5"/>
        <v>17</v>
      </c>
      <c r="Y16">
        <f t="shared" si="2"/>
        <v>2.3611111111111114E-2</v>
      </c>
      <c r="Z16" t="str">
        <f t="shared" si="7"/>
        <v>NO</v>
      </c>
      <c r="AA16" t="str">
        <f t="shared" si="8"/>
        <v>NO</v>
      </c>
    </row>
    <row r="17" spans="1:27" x14ac:dyDescent="0.2">
      <c r="A17" t="s">
        <v>30</v>
      </c>
      <c r="B17">
        <v>91</v>
      </c>
      <c r="C17">
        <v>127.065170420999</v>
      </c>
      <c r="D17">
        <v>16.349125236445978</v>
      </c>
      <c r="E17">
        <v>103</v>
      </c>
      <c r="F17">
        <v>122.7874665969869</v>
      </c>
      <c r="G17">
        <v>18.670493056577349</v>
      </c>
      <c r="H17">
        <v>80</v>
      </c>
      <c r="I17">
        <v>130.40452072859841</v>
      </c>
      <c r="J17">
        <v>17.031257279998879</v>
      </c>
      <c r="K17">
        <v>21</v>
      </c>
      <c r="L17">
        <v>120.76385455205821</v>
      </c>
      <c r="M17">
        <v>17.882640684494731</v>
      </c>
      <c r="N17">
        <v>12.48239448254845</v>
      </c>
      <c r="O17">
        <v>5.9007944976332974E-3</v>
      </c>
      <c r="P17" s="6">
        <v>0.1375706518584717</v>
      </c>
      <c r="Q17">
        <v>4.9742992146980289E-2</v>
      </c>
      <c r="R17">
        <v>204</v>
      </c>
      <c r="S17">
        <f t="shared" si="3"/>
        <v>36</v>
      </c>
      <c r="T17">
        <f t="shared" si="0"/>
        <v>15</v>
      </c>
      <c r="U17">
        <f t="shared" si="1"/>
        <v>2.0833333333333332E-2</v>
      </c>
      <c r="V17" t="str">
        <f t="shared" si="6"/>
        <v>YES</v>
      </c>
      <c r="W17">
        <f t="shared" si="4"/>
        <v>36</v>
      </c>
      <c r="X17">
        <f t="shared" si="5"/>
        <v>9</v>
      </c>
      <c r="Y17">
        <f t="shared" si="2"/>
        <v>1.2500000000000001E-2</v>
      </c>
      <c r="Z17" t="str">
        <f t="shared" si="7"/>
        <v>NO</v>
      </c>
      <c r="AA17" t="str">
        <f t="shared" si="8"/>
        <v>NO</v>
      </c>
    </row>
    <row r="18" spans="1:27" x14ac:dyDescent="0.2">
      <c r="A18" t="s">
        <v>31</v>
      </c>
      <c r="B18">
        <v>91</v>
      </c>
      <c r="C18">
        <v>100.13286923432339</v>
      </c>
      <c r="D18">
        <v>14.68183832167473</v>
      </c>
      <c r="E18">
        <v>103</v>
      </c>
      <c r="F18">
        <v>98.598850333057101</v>
      </c>
      <c r="G18">
        <v>22.197585489568841</v>
      </c>
      <c r="H18">
        <v>80</v>
      </c>
      <c r="I18">
        <v>98.885166962623003</v>
      </c>
      <c r="J18">
        <v>27.181864419223221</v>
      </c>
      <c r="K18">
        <v>21</v>
      </c>
      <c r="L18">
        <v>91.92917889292923</v>
      </c>
      <c r="M18">
        <v>28.19579857151513</v>
      </c>
      <c r="N18">
        <v>2.7559543298078499</v>
      </c>
      <c r="O18">
        <v>0.43080203540962858</v>
      </c>
      <c r="P18" s="6">
        <v>1.068916307946715E-2</v>
      </c>
      <c r="Q18">
        <v>0.87939359765034264</v>
      </c>
      <c r="R18">
        <v>204</v>
      </c>
      <c r="S18">
        <f t="shared" si="3"/>
        <v>36</v>
      </c>
      <c r="T18">
        <f t="shared" si="0"/>
        <v>32</v>
      </c>
      <c r="U18">
        <f t="shared" si="1"/>
        <v>4.4444444444444446E-2</v>
      </c>
      <c r="V18" t="str">
        <f t="shared" si="6"/>
        <v>NO</v>
      </c>
      <c r="W18">
        <f t="shared" si="4"/>
        <v>36</v>
      </c>
      <c r="X18">
        <f t="shared" si="5"/>
        <v>35</v>
      </c>
      <c r="Y18">
        <f t="shared" si="2"/>
        <v>4.8611111111111112E-2</v>
      </c>
      <c r="Z18" t="str">
        <f t="shared" si="7"/>
        <v>NO</v>
      </c>
      <c r="AA18" t="str">
        <f t="shared" si="8"/>
        <v>NO</v>
      </c>
    </row>
    <row r="19" spans="1:27" x14ac:dyDescent="0.2">
      <c r="A19" t="s">
        <v>32</v>
      </c>
      <c r="B19">
        <v>92</v>
      </c>
      <c r="C19">
        <v>1.102726471803964</v>
      </c>
      <c r="D19">
        <v>0.18881738204764159</v>
      </c>
      <c r="E19">
        <v>103</v>
      </c>
      <c r="F19">
        <v>1.117672662470754</v>
      </c>
      <c r="G19">
        <v>0.2359570356690357</v>
      </c>
      <c r="H19">
        <v>81</v>
      </c>
      <c r="I19">
        <v>1.0848233788125861</v>
      </c>
      <c r="J19">
        <v>0.20346338410126219</v>
      </c>
      <c r="K19">
        <v>23</v>
      </c>
      <c r="L19">
        <v>1.0848769939606151</v>
      </c>
      <c r="M19">
        <v>0.41495861742691781</v>
      </c>
      <c r="N19">
        <v>0.87509351546369374</v>
      </c>
      <c r="O19">
        <v>0.83143377283132569</v>
      </c>
      <c r="P19" s="6">
        <v>-1.739669043640291E-2</v>
      </c>
      <c r="Q19">
        <v>0.80351706809745416</v>
      </c>
      <c r="R19">
        <v>207</v>
      </c>
      <c r="S19">
        <f t="shared" si="3"/>
        <v>36</v>
      </c>
      <c r="T19">
        <f t="shared" si="0"/>
        <v>35</v>
      </c>
      <c r="U19">
        <f t="shared" si="1"/>
        <v>4.8611111111111112E-2</v>
      </c>
      <c r="V19" t="str">
        <f t="shared" si="6"/>
        <v>NO</v>
      </c>
      <c r="W19">
        <f t="shared" si="4"/>
        <v>36</v>
      </c>
      <c r="X19">
        <f t="shared" si="5"/>
        <v>32</v>
      </c>
      <c r="Y19">
        <f t="shared" si="2"/>
        <v>4.4444444444444446E-2</v>
      </c>
      <c r="Z19" t="str">
        <f t="shared" si="7"/>
        <v>NO</v>
      </c>
      <c r="AA19" t="str">
        <f t="shared" si="8"/>
        <v>NO</v>
      </c>
    </row>
    <row r="20" spans="1:27" x14ac:dyDescent="0.2">
      <c r="A20" t="s">
        <v>33</v>
      </c>
      <c r="B20">
        <v>92</v>
      </c>
      <c r="C20">
        <v>22.50532087673264</v>
      </c>
      <c r="D20">
        <v>3.3319821335287618</v>
      </c>
      <c r="E20">
        <v>103</v>
      </c>
      <c r="F20">
        <v>24.005124216170969</v>
      </c>
      <c r="G20">
        <v>4.1831795644262089</v>
      </c>
      <c r="H20">
        <v>81</v>
      </c>
      <c r="I20">
        <v>24.943493083335891</v>
      </c>
      <c r="J20">
        <v>3.982969840025941</v>
      </c>
      <c r="K20">
        <v>23</v>
      </c>
      <c r="L20">
        <v>21.191828327011521</v>
      </c>
      <c r="M20">
        <v>6.5016447887415776</v>
      </c>
      <c r="N20">
        <v>20.410512149925371</v>
      </c>
      <c r="O20">
        <v>1.3953335789246339E-4</v>
      </c>
      <c r="P20" s="6">
        <v>-5.5905520179539349E-2</v>
      </c>
      <c r="Q20">
        <v>0.4236553717511316</v>
      </c>
      <c r="R20">
        <v>207</v>
      </c>
      <c r="S20">
        <f t="shared" si="3"/>
        <v>36</v>
      </c>
      <c r="T20">
        <f t="shared" si="0"/>
        <v>11</v>
      </c>
      <c r="U20">
        <f t="shared" si="1"/>
        <v>1.5277777777777779E-2</v>
      </c>
      <c r="V20" t="str">
        <f t="shared" si="6"/>
        <v>YES</v>
      </c>
      <c r="W20">
        <f t="shared" si="4"/>
        <v>36</v>
      </c>
      <c r="X20">
        <f t="shared" si="5"/>
        <v>24</v>
      </c>
      <c r="Y20">
        <f t="shared" si="2"/>
        <v>3.333333333333334E-2</v>
      </c>
      <c r="Z20" t="str">
        <f t="shared" si="7"/>
        <v>NO</v>
      </c>
      <c r="AA20" t="str">
        <f t="shared" si="8"/>
        <v>NO</v>
      </c>
    </row>
    <row r="21" spans="1:27" x14ac:dyDescent="0.2">
      <c r="A21" t="s">
        <v>34</v>
      </c>
      <c r="B21">
        <v>92</v>
      </c>
      <c r="C21">
        <v>66.811371907548434</v>
      </c>
      <c r="D21">
        <v>4.898835308250403</v>
      </c>
      <c r="E21">
        <v>103</v>
      </c>
      <c r="F21">
        <v>66.110181395375591</v>
      </c>
      <c r="G21">
        <v>4.6929956690933139</v>
      </c>
      <c r="H21">
        <v>81</v>
      </c>
      <c r="I21">
        <v>66.015954956489708</v>
      </c>
      <c r="J21">
        <v>4.48363896662533</v>
      </c>
      <c r="K21">
        <v>23</v>
      </c>
      <c r="L21">
        <v>63.812255847660232</v>
      </c>
      <c r="M21">
        <v>4.3769325917905419</v>
      </c>
      <c r="N21">
        <v>7.9306958545425221</v>
      </c>
      <c r="O21">
        <v>4.7465939569764838E-2</v>
      </c>
      <c r="P21" s="6">
        <v>-0.10285800711347549</v>
      </c>
      <c r="Q21">
        <v>0.14026035566920331</v>
      </c>
      <c r="R21">
        <v>207</v>
      </c>
      <c r="S21">
        <f t="shared" si="3"/>
        <v>36</v>
      </c>
      <c r="T21">
        <f t="shared" si="0"/>
        <v>18</v>
      </c>
      <c r="U21">
        <f t="shared" si="1"/>
        <v>2.5000000000000001E-2</v>
      </c>
      <c r="V21" t="str">
        <f t="shared" si="6"/>
        <v>NO</v>
      </c>
      <c r="W21">
        <f t="shared" si="4"/>
        <v>36</v>
      </c>
      <c r="X21">
        <f t="shared" si="5"/>
        <v>16</v>
      </c>
      <c r="Y21">
        <f t="shared" si="2"/>
        <v>2.2222222222222223E-2</v>
      </c>
      <c r="Z21" t="str">
        <f t="shared" si="7"/>
        <v>NO</v>
      </c>
      <c r="AA21" t="str">
        <f t="shared" si="8"/>
        <v>NO</v>
      </c>
    </row>
    <row r="22" spans="1:27" x14ac:dyDescent="0.2">
      <c r="A22" t="s">
        <v>35</v>
      </c>
      <c r="B22">
        <v>91</v>
      </c>
      <c r="C22">
        <v>35.979043611885437</v>
      </c>
      <c r="D22">
        <v>16.90521673932146</v>
      </c>
      <c r="E22">
        <v>103</v>
      </c>
      <c r="F22">
        <v>33.958219332317377</v>
      </c>
      <c r="G22">
        <v>17.25406566212121</v>
      </c>
      <c r="H22">
        <v>80</v>
      </c>
      <c r="I22">
        <v>36.867585691669092</v>
      </c>
      <c r="J22">
        <v>25.066182200139568</v>
      </c>
      <c r="K22">
        <v>21</v>
      </c>
      <c r="L22">
        <v>39.967835570014323</v>
      </c>
      <c r="M22">
        <v>18.045567004627031</v>
      </c>
      <c r="N22">
        <v>3.0802247860250009</v>
      </c>
      <c r="O22">
        <v>0.3794207253586106</v>
      </c>
      <c r="P22" s="6">
        <v>7.4656865695868449E-2</v>
      </c>
      <c r="Q22">
        <v>0.28857957078079849</v>
      </c>
      <c r="R22">
        <v>204</v>
      </c>
      <c r="S22">
        <f t="shared" si="3"/>
        <v>36</v>
      </c>
      <c r="T22">
        <f t="shared" si="0"/>
        <v>31</v>
      </c>
      <c r="U22">
        <f t="shared" si="1"/>
        <v>4.3055555555555555E-2</v>
      </c>
      <c r="V22" t="str">
        <f t="shared" si="6"/>
        <v>NO</v>
      </c>
      <c r="W22">
        <f t="shared" si="4"/>
        <v>36</v>
      </c>
      <c r="X22">
        <f t="shared" si="5"/>
        <v>21</v>
      </c>
      <c r="Y22">
        <f t="shared" si="2"/>
        <v>2.9166666666666667E-2</v>
      </c>
      <c r="Z22" t="str">
        <f t="shared" si="7"/>
        <v>NO</v>
      </c>
      <c r="AA22" t="str">
        <f t="shared" si="8"/>
        <v>NO</v>
      </c>
    </row>
    <row r="23" spans="1:27" x14ac:dyDescent="0.2">
      <c r="A23" t="s">
        <v>36</v>
      </c>
      <c r="B23">
        <v>91</v>
      </c>
      <c r="C23">
        <v>26.93230118667557</v>
      </c>
      <c r="D23">
        <v>15.955071016416101</v>
      </c>
      <c r="E23">
        <v>103</v>
      </c>
      <c r="F23">
        <v>24.18861626392982</v>
      </c>
      <c r="G23">
        <v>19.330977538456722</v>
      </c>
      <c r="H23">
        <v>80</v>
      </c>
      <c r="I23">
        <v>31.519353765975382</v>
      </c>
      <c r="J23">
        <v>27.175663878375051</v>
      </c>
      <c r="K23">
        <v>21</v>
      </c>
      <c r="L23">
        <v>28.834675659129001</v>
      </c>
      <c r="M23">
        <v>26.74024079615857</v>
      </c>
      <c r="N23">
        <v>5.3720219889585286</v>
      </c>
      <c r="O23">
        <v>0.14649667339243291</v>
      </c>
      <c r="P23" s="6">
        <v>9.9145109259452677E-2</v>
      </c>
      <c r="Q23">
        <v>0.15828813933920621</v>
      </c>
      <c r="R23">
        <v>204</v>
      </c>
      <c r="S23">
        <f t="shared" si="3"/>
        <v>36</v>
      </c>
      <c r="T23">
        <f t="shared" si="0"/>
        <v>24</v>
      </c>
      <c r="U23">
        <f t="shared" si="1"/>
        <v>3.333333333333334E-2</v>
      </c>
      <c r="V23" t="str">
        <f t="shared" si="6"/>
        <v>NO</v>
      </c>
      <c r="W23">
        <f t="shared" si="4"/>
        <v>36</v>
      </c>
      <c r="X23">
        <f t="shared" si="5"/>
        <v>19</v>
      </c>
      <c r="Y23">
        <f t="shared" si="2"/>
        <v>2.6388888888888892E-2</v>
      </c>
      <c r="Z23" t="str">
        <f t="shared" si="7"/>
        <v>NO</v>
      </c>
      <c r="AA23" t="str">
        <f t="shared" si="8"/>
        <v>NO</v>
      </c>
    </row>
    <row r="24" spans="1:27" x14ac:dyDescent="0.2">
      <c r="A24" t="s">
        <v>37</v>
      </c>
      <c r="B24">
        <v>91</v>
      </c>
      <c r="C24">
        <v>1.530730977935195</v>
      </c>
      <c r="D24">
        <v>0.74935435091198788</v>
      </c>
      <c r="E24">
        <v>103</v>
      </c>
      <c r="F24">
        <v>1.2523735156225131</v>
      </c>
      <c r="G24">
        <v>0.64457659064991679</v>
      </c>
      <c r="H24">
        <v>80</v>
      </c>
      <c r="I24">
        <v>1.461608140636057</v>
      </c>
      <c r="J24">
        <v>0.80802342552926221</v>
      </c>
      <c r="K24">
        <v>21</v>
      </c>
      <c r="L24">
        <v>1.064696634562432</v>
      </c>
      <c r="M24">
        <v>0.48817926414242702</v>
      </c>
      <c r="N24">
        <v>10.414680762959909</v>
      </c>
      <c r="O24">
        <v>1.535097779075926E-2</v>
      </c>
      <c r="P24" s="6">
        <v>-1.893437086517913E-3</v>
      </c>
      <c r="Q24">
        <v>0.97855741021226139</v>
      </c>
      <c r="R24">
        <v>204</v>
      </c>
      <c r="S24">
        <f t="shared" si="3"/>
        <v>36</v>
      </c>
      <c r="T24">
        <f t="shared" si="0"/>
        <v>16</v>
      </c>
      <c r="U24">
        <f t="shared" si="1"/>
        <v>2.2222222222222223E-2</v>
      </c>
      <c r="V24" t="str">
        <f t="shared" si="6"/>
        <v>YES</v>
      </c>
      <c r="W24">
        <f t="shared" si="4"/>
        <v>36</v>
      </c>
      <c r="X24">
        <f t="shared" si="5"/>
        <v>36</v>
      </c>
      <c r="Y24">
        <f t="shared" si="2"/>
        <v>0.05</v>
      </c>
      <c r="Z24" t="str">
        <f t="shared" si="7"/>
        <v>NO</v>
      </c>
      <c r="AA24" t="str">
        <f t="shared" si="8"/>
        <v>NO</v>
      </c>
    </row>
    <row r="25" spans="1:27" x14ac:dyDescent="0.2">
      <c r="A25" t="s">
        <v>38</v>
      </c>
      <c r="B25">
        <v>91</v>
      </c>
      <c r="C25">
        <v>0.34698606371362312</v>
      </c>
      <c r="D25">
        <v>7.0920486145963038E-2</v>
      </c>
      <c r="E25">
        <v>103</v>
      </c>
      <c r="F25">
        <v>0.35997563449231401</v>
      </c>
      <c r="G25">
        <v>9.1543011009908484E-2</v>
      </c>
      <c r="H25">
        <v>80</v>
      </c>
      <c r="I25">
        <v>0.3997851820342912</v>
      </c>
      <c r="J25">
        <v>0.1356646585748236</v>
      </c>
      <c r="K25">
        <v>21</v>
      </c>
      <c r="L25">
        <v>0.37213699214258011</v>
      </c>
      <c r="M25">
        <v>8.8279095106125707E-2</v>
      </c>
      <c r="N25">
        <v>12.563972777907381</v>
      </c>
      <c r="O25">
        <v>5.6810123568330614E-3</v>
      </c>
      <c r="P25" s="6">
        <v>0.14453184071574871</v>
      </c>
      <c r="Q25">
        <v>3.91616238356794E-2</v>
      </c>
      <c r="R25">
        <v>204</v>
      </c>
      <c r="S25">
        <f t="shared" si="3"/>
        <v>36</v>
      </c>
      <c r="T25">
        <f t="shared" si="0"/>
        <v>14</v>
      </c>
      <c r="U25">
        <f t="shared" si="1"/>
        <v>1.9444444444444445E-2</v>
      </c>
      <c r="V25" t="str">
        <f t="shared" si="6"/>
        <v>YES</v>
      </c>
      <c r="W25">
        <f t="shared" si="4"/>
        <v>36</v>
      </c>
      <c r="X25">
        <f t="shared" si="5"/>
        <v>7</v>
      </c>
      <c r="Y25">
        <f t="shared" si="2"/>
        <v>9.7222222222222224E-3</v>
      </c>
      <c r="Z25" t="str">
        <f t="shared" si="7"/>
        <v>NO</v>
      </c>
      <c r="AA25" t="str">
        <f t="shared" si="8"/>
        <v>NO</v>
      </c>
    </row>
    <row r="26" spans="1:27" x14ac:dyDescent="0.2">
      <c r="A26" t="s">
        <v>39</v>
      </c>
      <c r="B26">
        <v>91</v>
      </c>
      <c r="C26">
        <v>0.36210656897825599</v>
      </c>
      <c r="D26">
        <v>8.126152443934187E-2</v>
      </c>
      <c r="E26">
        <v>103</v>
      </c>
      <c r="F26">
        <v>0.37497374961661761</v>
      </c>
      <c r="G26">
        <v>0.1248484103094248</v>
      </c>
      <c r="H26">
        <v>80</v>
      </c>
      <c r="I26">
        <v>0.4110702098432486</v>
      </c>
      <c r="J26">
        <v>0.13993887660260351</v>
      </c>
      <c r="K26">
        <v>21</v>
      </c>
      <c r="L26">
        <v>0.42632884879995331</v>
      </c>
      <c r="M26">
        <v>0.17745153266054231</v>
      </c>
      <c r="N26">
        <v>5.7062091671220632</v>
      </c>
      <c r="O26">
        <v>0.12681225298632881</v>
      </c>
      <c r="P26" s="6">
        <v>0.121469761295307</v>
      </c>
      <c r="Q26">
        <v>8.3507293698806023E-2</v>
      </c>
      <c r="R26">
        <v>204</v>
      </c>
      <c r="S26">
        <f t="shared" si="3"/>
        <v>36</v>
      </c>
      <c r="T26">
        <f t="shared" si="0"/>
        <v>23</v>
      </c>
      <c r="U26">
        <f t="shared" si="1"/>
        <v>3.1944444444444449E-2</v>
      </c>
      <c r="V26" t="str">
        <f t="shared" si="6"/>
        <v>NO</v>
      </c>
      <c r="W26">
        <f t="shared" si="4"/>
        <v>36</v>
      </c>
      <c r="X26">
        <f t="shared" si="5"/>
        <v>11</v>
      </c>
      <c r="Y26">
        <f t="shared" si="2"/>
        <v>1.5277777777777779E-2</v>
      </c>
      <c r="Z26" t="str">
        <f t="shared" si="7"/>
        <v>NO</v>
      </c>
      <c r="AA26" t="str">
        <f t="shared" si="8"/>
        <v>NO</v>
      </c>
    </row>
    <row r="27" spans="1:27" x14ac:dyDescent="0.2">
      <c r="A27" t="s">
        <v>40</v>
      </c>
      <c r="B27">
        <v>92</v>
      </c>
      <c r="C27">
        <v>1.1900981222061779</v>
      </c>
      <c r="D27">
        <v>0.64058207599217354</v>
      </c>
      <c r="E27">
        <v>103</v>
      </c>
      <c r="F27">
        <v>1.685111723672337</v>
      </c>
      <c r="G27">
        <v>4.0953905535724431</v>
      </c>
      <c r="H27">
        <v>81</v>
      </c>
      <c r="I27">
        <v>1.845553009327797</v>
      </c>
      <c r="J27">
        <v>3.3602289246434638</v>
      </c>
      <c r="K27">
        <v>23</v>
      </c>
      <c r="L27">
        <v>1.074466023270175</v>
      </c>
      <c r="M27">
        <v>0.59732495199451263</v>
      </c>
      <c r="N27">
        <v>0.20154675218578469</v>
      </c>
      <c r="O27">
        <v>0.977339213641925</v>
      </c>
      <c r="P27" s="6">
        <v>1.39928598584226E-2</v>
      </c>
      <c r="Q27">
        <v>0.84139229433311968</v>
      </c>
      <c r="R27">
        <v>207</v>
      </c>
      <c r="S27">
        <f t="shared" si="3"/>
        <v>36</v>
      </c>
      <c r="T27">
        <f t="shared" si="0"/>
        <v>36</v>
      </c>
      <c r="U27">
        <f t="shared" si="1"/>
        <v>0.05</v>
      </c>
      <c r="V27" t="str">
        <f t="shared" si="6"/>
        <v>NO</v>
      </c>
      <c r="W27">
        <f t="shared" si="4"/>
        <v>36</v>
      </c>
      <c r="X27">
        <f t="shared" si="5"/>
        <v>33</v>
      </c>
      <c r="Y27">
        <f t="shared" si="2"/>
        <v>4.5833333333333337E-2</v>
      </c>
      <c r="Z27" t="str">
        <f t="shared" si="7"/>
        <v>NO</v>
      </c>
      <c r="AA27" t="str">
        <f t="shared" si="8"/>
        <v>NO</v>
      </c>
    </row>
    <row r="28" spans="1:27" x14ac:dyDescent="0.2">
      <c r="A28" s="2" t="s">
        <v>57</v>
      </c>
      <c r="P28" s="6"/>
      <c r="Q28"/>
      <c r="S28">
        <f t="shared" si="3"/>
        <v>36</v>
      </c>
      <c r="T28" t="str">
        <f t="shared" si="0"/>
        <v/>
      </c>
      <c r="U28" t="str">
        <f t="shared" si="1"/>
        <v/>
      </c>
      <c r="V28" t="str">
        <f t="shared" si="6"/>
        <v/>
      </c>
      <c r="W28">
        <f t="shared" si="4"/>
        <v>36</v>
      </c>
      <c r="X28" t="str">
        <f t="shared" si="5"/>
        <v/>
      </c>
      <c r="Y28" t="str">
        <f t="shared" si="2"/>
        <v/>
      </c>
      <c r="Z28" t="str">
        <f t="shared" si="7"/>
        <v/>
      </c>
      <c r="AA28" t="str">
        <f t="shared" si="8"/>
        <v>NO</v>
      </c>
    </row>
    <row r="29" spans="1:27" x14ac:dyDescent="0.2">
      <c r="A29" t="s">
        <v>41</v>
      </c>
      <c r="B29">
        <v>91</v>
      </c>
      <c r="C29">
        <v>14.09801094912798</v>
      </c>
      <c r="D29">
        <v>13.98547742672295</v>
      </c>
      <c r="E29">
        <v>103</v>
      </c>
      <c r="F29">
        <v>18.77626017759966</v>
      </c>
      <c r="G29">
        <v>16.179633849408251</v>
      </c>
      <c r="H29">
        <v>81</v>
      </c>
      <c r="I29">
        <v>23.73163312128769</v>
      </c>
      <c r="J29">
        <v>14.03925498579288</v>
      </c>
      <c r="K29">
        <v>24</v>
      </c>
      <c r="L29">
        <v>26.581957678812401</v>
      </c>
      <c r="M29">
        <v>11.622294344957989</v>
      </c>
      <c r="N29">
        <v>47.725684411604078</v>
      </c>
      <c r="O29">
        <v>2.4358195113056332E-10</v>
      </c>
      <c r="P29" s="6">
        <v>0.29122036286579728</v>
      </c>
      <c r="Q29">
        <v>1.97591269341852E-5</v>
      </c>
      <c r="R29">
        <v>208</v>
      </c>
      <c r="S29">
        <f t="shared" si="3"/>
        <v>36</v>
      </c>
      <c r="T29">
        <f t="shared" si="0"/>
        <v>4</v>
      </c>
      <c r="U29">
        <f t="shared" si="1"/>
        <v>5.5555555555555558E-3</v>
      </c>
      <c r="V29" t="str">
        <f t="shared" si="6"/>
        <v>YES</v>
      </c>
      <c r="W29">
        <f t="shared" si="4"/>
        <v>36</v>
      </c>
      <c r="X29">
        <f t="shared" si="5"/>
        <v>2</v>
      </c>
      <c r="Y29">
        <f t="shared" si="2"/>
        <v>2.7777777777777779E-3</v>
      </c>
      <c r="Z29" t="str">
        <f t="shared" si="7"/>
        <v>YES</v>
      </c>
      <c r="AA29" t="str">
        <f t="shared" si="8"/>
        <v>YES</v>
      </c>
    </row>
    <row r="30" spans="1:27" x14ac:dyDescent="0.2">
      <c r="A30" t="s">
        <v>42</v>
      </c>
      <c r="B30">
        <v>91</v>
      </c>
      <c r="C30">
        <v>21.60485082352205</v>
      </c>
      <c r="D30">
        <v>31.36225225388954</v>
      </c>
      <c r="E30">
        <v>103</v>
      </c>
      <c r="F30">
        <v>40.024277495980748</v>
      </c>
      <c r="G30">
        <v>49.172417426527723</v>
      </c>
      <c r="H30">
        <v>81</v>
      </c>
      <c r="I30">
        <v>53.612911296909708</v>
      </c>
      <c r="J30">
        <v>49.556999525505063</v>
      </c>
      <c r="K30">
        <v>24</v>
      </c>
      <c r="L30">
        <v>69.408331529519998</v>
      </c>
      <c r="M30">
        <v>50.294334513516453</v>
      </c>
      <c r="N30">
        <v>49.592574121708928</v>
      </c>
      <c r="O30">
        <v>9.7558314391675235E-11</v>
      </c>
      <c r="P30" s="6">
        <v>0.2698484338446317</v>
      </c>
      <c r="Q30">
        <v>8.089610392290295E-5</v>
      </c>
      <c r="R30">
        <v>208</v>
      </c>
      <c r="S30">
        <f t="shared" si="3"/>
        <v>36</v>
      </c>
      <c r="T30">
        <f t="shared" si="0"/>
        <v>3</v>
      </c>
      <c r="U30">
        <f t="shared" si="1"/>
        <v>4.1666666666666675E-3</v>
      </c>
      <c r="V30" t="str">
        <f t="shared" si="6"/>
        <v>YES</v>
      </c>
      <c r="W30">
        <f t="shared" si="4"/>
        <v>36</v>
      </c>
      <c r="X30">
        <f t="shared" si="5"/>
        <v>5</v>
      </c>
      <c r="Y30">
        <f t="shared" si="2"/>
        <v>6.9444444444444441E-3</v>
      </c>
      <c r="Z30" t="str">
        <f t="shared" si="7"/>
        <v>YES</v>
      </c>
      <c r="AA30" t="str">
        <f t="shared" si="8"/>
        <v>YES</v>
      </c>
    </row>
    <row r="31" spans="1:27" x14ac:dyDescent="0.2">
      <c r="A31" t="s">
        <v>43</v>
      </c>
      <c r="B31">
        <v>91</v>
      </c>
      <c r="C31">
        <v>5.2244344584732616</v>
      </c>
      <c r="D31">
        <v>1.8882518970139099</v>
      </c>
      <c r="E31">
        <v>103</v>
      </c>
      <c r="F31">
        <v>9.5278443660258549</v>
      </c>
      <c r="G31">
        <v>10.27800776728848</v>
      </c>
      <c r="H31">
        <v>81</v>
      </c>
      <c r="I31">
        <v>7.6701506447670162</v>
      </c>
      <c r="J31">
        <v>4.9684414978199074</v>
      </c>
      <c r="K31">
        <v>23</v>
      </c>
      <c r="L31">
        <v>23.14815697584784</v>
      </c>
      <c r="M31">
        <v>30.38200379293734</v>
      </c>
      <c r="N31">
        <v>23.86935287976776</v>
      </c>
      <c r="O31">
        <v>2.659897218623005E-5</v>
      </c>
      <c r="P31" s="6">
        <v>4.5274542282819137E-2</v>
      </c>
      <c r="Q31">
        <v>0.51713046389484663</v>
      </c>
      <c r="R31">
        <v>207</v>
      </c>
      <c r="S31">
        <f t="shared" si="3"/>
        <v>36</v>
      </c>
      <c r="T31">
        <f t="shared" si="0"/>
        <v>9</v>
      </c>
      <c r="U31">
        <f t="shared" si="1"/>
        <v>1.2500000000000001E-2</v>
      </c>
      <c r="V31" t="str">
        <f t="shared" si="6"/>
        <v>YES</v>
      </c>
      <c r="W31">
        <f t="shared" si="4"/>
        <v>36</v>
      </c>
      <c r="X31">
        <f t="shared" si="5"/>
        <v>26</v>
      </c>
      <c r="Y31">
        <f t="shared" si="2"/>
        <v>3.6111111111111115E-2</v>
      </c>
      <c r="Z31" t="str">
        <f t="shared" si="7"/>
        <v>NO</v>
      </c>
      <c r="AA31" t="str">
        <f t="shared" si="8"/>
        <v>NO</v>
      </c>
    </row>
    <row r="32" spans="1:27" x14ac:dyDescent="0.2">
      <c r="A32" t="s">
        <v>44</v>
      </c>
      <c r="B32">
        <v>91</v>
      </c>
      <c r="C32">
        <v>7.431333893455407</v>
      </c>
      <c r="D32">
        <v>4.3708790382087219</v>
      </c>
      <c r="E32">
        <v>103</v>
      </c>
      <c r="F32">
        <v>7.0475686966013074</v>
      </c>
      <c r="G32">
        <v>5.1486408682867078</v>
      </c>
      <c r="H32">
        <v>81</v>
      </c>
      <c r="I32">
        <v>7.715071566030077</v>
      </c>
      <c r="J32">
        <v>5.8912990384993584</v>
      </c>
      <c r="K32">
        <v>23</v>
      </c>
      <c r="L32">
        <v>9.5378339770154632</v>
      </c>
      <c r="M32">
        <v>5.6505619011397794</v>
      </c>
      <c r="N32">
        <v>4.9722817561195836</v>
      </c>
      <c r="O32">
        <v>0.17383809848690371</v>
      </c>
      <c r="P32" s="6">
        <v>0.1201767929767909</v>
      </c>
      <c r="Q32">
        <v>8.4558220268719356E-2</v>
      </c>
      <c r="R32">
        <v>207</v>
      </c>
      <c r="S32">
        <f t="shared" si="3"/>
        <v>36</v>
      </c>
      <c r="T32">
        <f t="shared" si="0"/>
        <v>26</v>
      </c>
      <c r="U32">
        <f t="shared" si="1"/>
        <v>3.6111111111111115E-2</v>
      </c>
      <c r="V32" t="str">
        <f t="shared" si="6"/>
        <v>NO</v>
      </c>
      <c r="W32">
        <f t="shared" si="4"/>
        <v>36</v>
      </c>
      <c r="X32">
        <f t="shared" si="5"/>
        <v>12</v>
      </c>
      <c r="Y32">
        <f t="shared" si="2"/>
        <v>1.666666666666667E-2</v>
      </c>
      <c r="Z32" t="str">
        <f t="shared" si="7"/>
        <v>NO</v>
      </c>
      <c r="AA32" t="str">
        <f t="shared" si="8"/>
        <v>NO</v>
      </c>
    </row>
    <row r="33" spans="1:31" x14ac:dyDescent="0.2">
      <c r="A33" t="s">
        <v>45</v>
      </c>
      <c r="B33">
        <v>91</v>
      </c>
      <c r="C33">
        <v>5.191515157298193</v>
      </c>
      <c r="D33">
        <v>1.90811916253858</v>
      </c>
      <c r="E33">
        <v>103</v>
      </c>
      <c r="F33">
        <v>5.5106388632305796</v>
      </c>
      <c r="G33">
        <v>2.2907815149273789</v>
      </c>
      <c r="H33">
        <v>81</v>
      </c>
      <c r="I33">
        <v>5.0860036031809397</v>
      </c>
      <c r="J33">
        <v>1.8980593711914651</v>
      </c>
      <c r="K33">
        <v>24</v>
      </c>
      <c r="L33">
        <v>5.5124470183459993</v>
      </c>
      <c r="M33">
        <v>2.3798808457021159</v>
      </c>
      <c r="N33">
        <v>0.99762297474973172</v>
      </c>
      <c r="O33">
        <v>0.80182712715206483</v>
      </c>
      <c r="P33" s="6">
        <v>-3.7215834249119353E-2</v>
      </c>
      <c r="Q33">
        <v>0.5935596227397838</v>
      </c>
      <c r="R33">
        <v>208</v>
      </c>
      <c r="S33">
        <f t="shared" si="3"/>
        <v>36</v>
      </c>
      <c r="T33">
        <f t="shared" si="0"/>
        <v>34</v>
      </c>
      <c r="U33">
        <f t="shared" si="1"/>
        <v>4.7222222222222228E-2</v>
      </c>
      <c r="V33" t="str">
        <f t="shared" si="6"/>
        <v>NO</v>
      </c>
      <c r="W33">
        <f t="shared" si="4"/>
        <v>36</v>
      </c>
      <c r="X33">
        <f t="shared" si="5"/>
        <v>28</v>
      </c>
      <c r="Y33">
        <f t="shared" si="2"/>
        <v>3.888888888888889E-2</v>
      </c>
      <c r="Z33" t="str">
        <f t="shared" si="7"/>
        <v>NO</v>
      </c>
      <c r="AA33" t="str">
        <f t="shared" si="8"/>
        <v>NO</v>
      </c>
    </row>
    <row r="34" spans="1:31" x14ac:dyDescent="0.2">
      <c r="A34" s="2" t="s">
        <v>61</v>
      </c>
      <c r="P34" s="6"/>
      <c r="Q34"/>
      <c r="S34">
        <f t="shared" si="3"/>
        <v>36</v>
      </c>
      <c r="T34" t="str">
        <f t="shared" si="0"/>
        <v/>
      </c>
      <c r="U34" t="str">
        <f t="shared" si="1"/>
        <v/>
      </c>
      <c r="V34" t="str">
        <f t="shared" si="6"/>
        <v/>
      </c>
      <c r="W34">
        <f t="shared" si="4"/>
        <v>36</v>
      </c>
      <c r="X34" t="str">
        <f t="shared" si="5"/>
        <v/>
      </c>
      <c r="Y34" t="str">
        <f t="shared" si="2"/>
        <v/>
      </c>
      <c r="Z34" t="str">
        <f t="shared" si="7"/>
        <v/>
      </c>
      <c r="AA34" t="str">
        <f t="shared" si="8"/>
        <v>NO</v>
      </c>
    </row>
    <row r="35" spans="1:31" x14ac:dyDescent="0.2">
      <c r="A35" t="s">
        <v>46</v>
      </c>
      <c r="B35">
        <v>92</v>
      </c>
      <c r="C35">
        <v>3.5624195047951099</v>
      </c>
      <c r="D35">
        <v>10.870833641768559</v>
      </c>
      <c r="E35">
        <v>103</v>
      </c>
      <c r="F35">
        <v>4.0429508403945578</v>
      </c>
      <c r="G35">
        <v>3.0219118406737762</v>
      </c>
      <c r="H35">
        <v>81</v>
      </c>
      <c r="I35">
        <v>3.2970889440390541</v>
      </c>
      <c r="J35">
        <v>3.0761515623905948</v>
      </c>
      <c r="K35">
        <v>24</v>
      </c>
      <c r="L35">
        <v>4.2053787297361316</v>
      </c>
      <c r="M35">
        <v>2.71180036882844</v>
      </c>
      <c r="N35">
        <v>21.617856124251091</v>
      </c>
      <c r="O35">
        <v>7.8332110724992307E-5</v>
      </c>
      <c r="P35" s="6">
        <v>-7.3515676024668561E-2</v>
      </c>
      <c r="Q35">
        <v>0.29128933067686691</v>
      </c>
      <c r="R35">
        <v>208</v>
      </c>
      <c r="S35">
        <f t="shared" si="3"/>
        <v>36</v>
      </c>
      <c r="T35">
        <f t="shared" si="0"/>
        <v>10</v>
      </c>
      <c r="U35">
        <f t="shared" si="1"/>
        <v>1.3888888888888888E-2</v>
      </c>
      <c r="V35" t="str">
        <f t="shared" si="6"/>
        <v>YES</v>
      </c>
      <c r="W35">
        <f t="shared" si="4"/>
        <v>36</v>
      </c>
      <c r="X35">
        <f t="shared" si="5"/>
        <v>22</v>
      </c>
      <c r="Y35">
        <f t="shared" si="2"/>
        <v>3.0555555555555558E-2</v>
      </c>
      <c r="Z35" t="str">
        <f t="shared" si="7"/>
        <v>NO</v>
      </c>
      <c r="AA35" t="str">
        <f t="shared" si="8"/>
        <v>NO</v>
      </c>
    </row>
    <row r="36" spans="1:31" x14ac:dyDescent="0.2">
      <c r="A36" t="s">
        <v>47</v>
      </c>
      <c r="B36">
        <v>92</v>
      </c>
      <c r="C36">
        <v>6.3942424480762812</v>
      </c>
      <c r="D36">
        <v>16.834686147853589</v>
      </c>
      <c r="E36">
        <v>103</v>
      </c>
      <c r="F36">
        <v>8.8013787342317471</v>
      </c>
      <c r="G36">
        <v>9.4153411851363487</v>
      </c>
      <c r="H36">
        <v>81</v>
      </c>
      <c r="I36">
        <v>8.5703623444376298</v>
      </c>
      <c r="J36">
        <v>8.2113367792341716</v>
      </c>
      <c r="K36">
        <v>24</v>
      </c>
      <c r="L36">
        <v>16.057770202560871</v>
      </c>
      <c r="M36">
        <v>13.27203159162039</v>
      </c>
      <c r="N36">
        <v>29.28341311199387</v>
      </c>
      <c r="O36">
        <v>1.9524274317458991E-6</v>
      </c>
      <c r="P36" s="6">
        <v>0.1144386073790977</v>
      </c>
      <c r="Q36">
        <v>9.9779684679220715E-2</v>
      </c>
      <c r="R36">
        <v>208</v>
      </c>
      <c r="S36">
        <f t="shared" si="3"/>
        <v>36</v>
      </c>
      <c r="T36">
        <f t="shared" si="0"/>
        <v>7</v>
      </c>
      <c r="U36">
        <f t="shared" si="1"/>
        <v>9.7222222222222224E-3</v>
      </c>
      <c r="V36" t="str">
        <f t="shared" si="6"/>
        <v>YES</v>
      </c>
      <c r="W36">
        <f t="shared" si="4"/>
        <v>36</v>
      </c>
      <c r="X36">
        <f t="shared" si="5"/>
        <v>13</v>
      </c>
      <c r="Y36">
        <f t="shared" si="2"/>
        <v>1.8055555555555557E-2</v>
      </c>
      <c r="Z36" t="str">
        <f t="shared" si="7"/>
        <v>NO</v>
      </c>
      <c r="AA36" t="str">
        <f t="shared" si="8"/>
        <v>NO</v>
      </c>
    </row>
    <row r="37" spans="1:31" x14ac:dyDescent="0.2">
      <c r="A37" t="s">
        <v>48</v>
      </c>
      <c r="B37">
        <v>92</v>
      </c>
      <c r="C37">
        <v>6.1551621977395712</v>
      </c>
      <c r="D37">
        <v>20.020941778123131</v>
      </c>
      <c r="E37">
        <v>103</v>
      </c>
      <c r="F37">
        <v>6.1746708084202151</v>
      </c>
      <c r="G37">
        <v>5.0072185901293489</v>
      </c>
      <c r="H37">
        <v>81</v>
      </c>
      <c r="I37">
        <v>3.7943836355262222</v>
      </c>
      <c r="J37">
        <v>3.609865452069517</v>
      </c>
      <c r="K37">
        <v>24</v>
      </c>
      <c r="L37">
        <v>4.7442765600468269</v>
      </c>
      <c r="M37">
        <v>3.1872885874224459</v>
      </c>
      <c r="N37">
        <v>13.39865403501963</v>
      </c>
      <c r="O37">
        <v>3.8492145448872301E-3</v>
      </c>
      <c r="P37" s="6">
        <v>-0.17402345702403341</v>
      </c>
      <c r="Q37">
        <v>1.194081559597635E-2</v>
      </c>
      <c r="R37">
        <v>208</v>
      </c>
      <c r="S37">
        <f t="shared" si="3"/>
        <v>36</v>
      </c>
      <c r="T37">
        <f t="shared" si="0"/>
        <v>13</v>
      </c>
      <c r="U37">
        <f t="shared" si="1"/>
        <v>1.8055555555555557E-2</v>
      </c>
      <c r="V37" t="str">
        <f t="shared" si="6"/>
        <v>YES</v>
      </c>
      <c r="W37">
        <f t="shared" si="4"/>
        <v>36</v>
      </c>
      <c r="X37">
        <f t="shared" si="5"/>
        <v>6</v>
      </c>
      <c r="Y37">
        <f t="shared" si="2"/>
        <v>8.333333333333335E-3</v>
      </c>
      <c r="Z37" t="str">
        <f t="shared" si="7"/>
        <v>NO</v>
      </c>
      <c r="AA37" t="str">
        <f t="shared" si="8"/>
        <v>NO</v>
      </c>
    </row>
    <row r="38" spans="1:31" x14ac:dyDescent="0.2">
      <c r="A38" s="2" t="s">
        <v>58</v>
      </c>
      <c r="P38" s="6"/>
      <c r="Q38"/>
      <c r="S38">
        <f t="shared" si="3"/>
        <v>36</v>
      </c>
      <c r="T38" t="str">
        <f t="shared" si="0"/>
        <v/>
      </c>
      <c r="U38" t="str">
        <f t="shared" si="1"/>
        <v/>
      </c>
      <c r="V38" t="str">
        <f t="shared" si="6"/>
        <v/>
      </c>
      <c r="W38">
        <f t="shared" si="4"/>
        <v>36</v>
      </c>
      <c r="X38" t="str">
        <f t="shared" si="5"/>
        <v/>
      </c>
      <c r="Y38" t="str">
        <f t="shared" si="2"/>
        <v/>
      </c>
      <c r="Z38" t="str">
        <f t="shared" si="7"/>
        <v/>
      </c>
      <c r="AA38" t="str">
        <f t="shared" si="8"/>
        <v>NO</v>
      </c>
    </row>
    <row r="39" spans="1:31" x14ac:dyDescent="0.2">
      <c r="A39" t="s">
        <v>49</v>
      </c>
      <c r="B39">
        <v>92</v>
      </c>
      <c r="C39">
        <v>0.93622622282608692</v>
      </c>
      <c r="D39">
        <v>9.3994909426760226E-2</v>
      </c>
      <c r="E39">
        <v>103</v>
      </c>
      <c r="F39">
        <v>0.93674150485436891</v>
      </c>
      <c r="G39">
        <v>0.11061812459543981</v>
      </c>
      <c r="H39">
        <v>81</v>
      </c>
      <c r="I39">
        <v>0.94762731481481477</v>
      </c>
      <c r="J39">
        <v>9.8197285996083045E-2</v>
      </c>
      <c r="K39">
        <v>24</v>
      </c>
      <c r="L39">
        <v>0.86263020833333337</v>
      </c>
      <c r="M39">
        <v>0.17198175826377099</v>
      </c>
      <c r="N39">
        <v>5.7413383203260517</v>
      </c>
      <c r="O39">
        <v>0.12489570030538021</v>
      </c>
      <c r="P39" s="6">
        <v>-5.9990584719797929E-2</v>
      </c>
      <c r="Q39">
        <v>0.38937126356170898</v>
      </c>
      <c r="R39">
        <v>208</v>
      </c>
      <c r="S39">
        <f t="shared" si="3"/>
        <v>36</v>
      </c>
      <c r="T39">
        <f t="shared" si="0"/>
        <v>22</v>
      </c>
      <c r="U39">
        <f t="shared" si="1"/>
        <v>3.0555555555555558E-2</v>
      </c>
      <c r="V39" t="str">
        <f t="shared" si="6"/>
        <v>NO</v>
      </c>
      <c r="W39">
        <f t="shared" si="4"/>
        <v>36</v>
      </c>
      <c r="X39">
        <f t="shared" si="5"/>
        <v>23</v>
      </c>
      <c r="Y39">
        <f t="shared" si="2"/>
        <v>3.1944444444444449E-2</v>
      </c>
      <c r="Z39" t="str">
        <f t="shared" si="7"/>
        <v>NO</v>
      </c>
      <c r="AA39" t="str">
        <f t="shared" si="8"/>
        <v>NO</v>
      </c>
    </row>
    <row r="40" spans="1:31" x14ac:dyDescent="0.2">
      <c r="A40" t="s">
        <v>50</v>
      </c>
      <c r="B40">
        <v>92</v>
      </c>
      <c r="C40">
        <v>3.2778867459669743E-2</v>
      </c>
      <c r="D40">
        <v>2.0479999339001669E-2</v>
      </c>
      <c r="E40">
        <v>103</v>
      </c>
      <c r="F40">
        <v>2.9957566628193832E-2</v>
      </c>
      <c r="G40">
        <v>1.7533477087932969E-2</v>
      </c>
      <c r="H40">
        <v>81</v>
      </c>
      <c r="I40">
        <v>2.532344097218971E-2</v>
      </c>
      <c r="J40">
        <v>1.56640258459507E-2</v>
      </c>
      <c r="K40">
        <v>24</v>
      </c>
      <c r="L40">
        <v>3.3224653083549091E-2</v>
      </c>
      <c r="M40">
        <v>1.589649041048162E-2</v>
      </c>
      <c r="N40">
        <v>8.5740543996859486</v>
      </c>
      <c r="O40">
        <v>3.5524352057148878E-2</v>
      </c>
      <c r="P40" s="6">
        <v>-2.4057242972859109E-2</v>
      </c>
      <c r="Q40">
        <v>0.73015635904386467</v>
      </c>
      <c r="R40">
        <v>208</v>
      </c>
      <c r="S40">
        <f t="shared" si="3"/>
        <v>36</v>
      </c>
      <c r="T40">
        <f t="shared" si="0"/>
        <v>17</v>
      </c>
      <c r="U40">
        <f t="shared" si="1"/>
        <v>2.3611111111111114E-2</v>
      </c>
      <c r="V40" t="str">
        <f t="shared" si="6"/>
        <v>NO</v>
      </c>
      <c r="W40">
        <f t="shared" si="4"/>
        <v>36</v>
      </c>
      <c r="X40">
        <f t="shared" si="5"/>
        <v>30</v>
      </c>
      <c r="Y40">
        <f t="shared" si="2"/>
        <v>4.1666666666666664E-2</v>
      </c>
      <c r="Z40" t="str">
        <f t="shared" si="7"/>
        <v>NO</v>
      </c>
      <c r="AA40" t="str">
        <f t="shared" si="8"/>
        <v>NO</v>
      </c>
    </row>
    <row r="41" spans="1:31" x14ac:dyDescent="0.2">
      <c r="A41" t="s">
        <v>51</v>
      </c>
      <c r="B41">
        <v>92</v>
      </c>
      <c r="C41">
        <v>131015.1918576014</v>
      </c>
      <c r="D41">
        <v>49871.76007221797</v>
      </c>
      <c r="E41">
        <v>103</v>
      </c>
      <c r="F41">
        <v>137564.18396164439</v>
      </c>
      <c r="G41">
        <v>39599.009553978583</v>
      </c>
      <c r="H41">
        <v>81</v>
      </c>
      <c r="I41">
        <v>143255.34635107411</v>
      </c>
      <c r="J41">
        <v>40811.106867000359</v>
      </c>
      <c r="K41">
        <v>24</v>
      </c>
      <c r="L41">
        <v>122470.0559424011</v>
      </c>
      <c r="M41">
        <v>28666.603942874939</v>
      </c>
      <c r="N41">
        <v>7.5212929229851619</v>
      </c>
      <c r="O41">
        <v>5.7013862401296501E-2</v>
      </c>
      <c r="P41" s="6">
        <v>-4.1156997841639217E-2</v>
      </c>
      <c r="Q41">
        <v>0.55502454445267513</v>
      </c>
      <c r="R41">
        <v>208</v>
      </c>
      <c r="S41">
        <f t="shared" si="3"/>
        <v>36</v>
      </c>
      <c r="T41">
        <f t="shared" si="0"/>
        <v>19</v>
      </c>
      <c r="U41">
        <f t="shared" si="1"/>
        <v>2.6388888888888892E-2</v>
      </c>
      <c r="V41" t="str">
        <f t="shared" si="6"/>
        <v>NO</v>
      </c>
      <c r="W41">
        <f t="shared" si="4"/>
        <v>36</v>
      </c>
      <c r="X41">
        <f t="shared" si="5"/>
        <v>27</v>
      </c>
      <c r="Y41">
        <f t="shared" si="2"/>
        <v>3.7500000000000006E-2</v>
      </c>
      <c r="Z41" t="str">
        <f t="shared" si="7"/>
        <v>NO</v>
      </c>
      <c r="AA41" t="str">
        <f t="shared" si="8"/>
        <v>NO</v>
      </c>
    </row>
    <row r="42" spans="1:31" x14ac:dyDescent="0.2">
      <c r="A42" t="s">
        <v>52</v>
      </c>
      <c r="B42">
        <v>92</v>
      </c>
      <c r="C42">
        <v>0.86979198476394248</v>
      </c>
      <c r="D42">
        <v>4.7816669392813808E-2</v>
      </c>
      <c r="E42">
        <v>103</v>
      </c>
      <c r="F42">
        <v>0.89500834132435847</v>
      </c>
      <c r="G42">
        <v>3.9972529228234348E-2</v>
      </c>
      <c r="H42">
        <v>81</v>
      </c>
      <c r="I42">
        <v>0.9056637180629612</v>
      </c>
      <c r="J42">
        <v>4.3020563958941702E-2</v>
      </c>
      <c r="K42">
        <v>24</v>
      </c>
      <c r="L42">
        <v>0.94335391060345675</v>
      </c>
      <c r="M42">
        <v>0.13884201504074339</v>
      </c>
      <c r="N42">
        <v>28.141760165266579</v>
      </c>
      <c r="O42">
        <v>3.3915103283213091E-6</v>
      </c>
      <c r="P42" s="6">
        <v>0.12764290612687609</v>
      </c>
      <c r="Q42">
        <v>6.6162515370332867E-2</v>
      </c>
      <c r="R42">
        <v>208</v>
      </c>
      <c r="S42">
        <f t="shared" si="3"/>
        <v>36</v>
      </c>
      <c r="T42">
        <f t="shared" si="0"/>
        <v>8</v>
      </c>
      <c r="U42">
        <f t="shared" si="1"/>
        <v>1.1111111111111112E-2</v>
      </c>
      <c r="V42" t="str">
        <f t="shared" si="6"/>
        <v>YES</v>
      </c>
      <c r="W42">
        <f t="shared" si="4"/>
        <v>36</v>
      </c>
      <c r="X42">
        <f t="shared" si="5"/>
        <v>10</v>
      </c>
      <c r="Y42">
        <f t="shared" si="2"/>
        <v>1.3888888888888888E-2</v>
      </c>
      <c r="Z42" t="str">
        <f t="shared" si="7"/>
        <v>NO</v>
      </c>
      <c r="AA42" t="str">
        <f t="shared" si="8"/>
        <v>NO</v>
      </c>
    </row>
    <row r="43" spans="1:31" x14ac:dyDescent="0.2">
      <c r="A43" t="s">
        <v>53</v>
      </c>
      <c r="B43">
        <v>92</v>
      </c>
      <c r="C43">
        <v>1.3598883679447471</v>
      </c>
      <c r="D43">
        <v>0.1386518016438682</v>
      </c>
      <c r="E43">
        <v>103</v>
      </c>
      <c r="F43">
        <v>1.282268475906329</v>
      </c>
      <c r="G43">
        <v>0.1099137926507472</v>
      </c>
      <c r="H43">
        <v>81</v>
      </c>
      <c r="I43">
        <v>1.267435822439275</v>
      </c>
      <c r="J43">
        <v>0.13972502328470451</v>
      </c>
      <c r="K43">
        <v>24</v>
      </c>
      <c r="L43">
        <v>1.225413082214452</v>
      </c>
      <c r="M43">
        <v>0.246182775972447</v>
      </c>
      <c r="N43">
        <v>19.344857414666311</v>
      </c>
      <c r="O43">
        <v>2.3198666701159851E-4</v>
      </c>
      <c r="P43" s="6">
        <v>-4.5496258766736873E-2</v>
      </c>
      <c r="Q43">
        <v>0.51405275586461452</v>
      </c>
      <c r="R43">
        <v>208</v>
      </c>
      <c r="S43">
        <f t="shared" si="3"/>
        <v>36</v>
      </c>
      <c r="T43">
        <f t="shared" si="0"/>
        <v>12</v>
      </c>
      <c r="U43">
        <f t="shared" si="1"/>
        <v>1.666666666666667E-2</v>
      </c>
      <c r="V43" t="str">
        <f t="shared" si="6"/>
        <v>YES</v>
      </c>
      <c r="W43">
        <f t="shared" si="4"/>
        <v>36</v>
      </c>
      <c r="X43">
        <f t="shared" si="5"/>
        <v>25</v>
      </c>
      <c r="Y43">
        <f t="shared" si="2"/>
        <v>3.4722222222222224E-2</v>
      </c>
      <c r="Z43" t="str">
        <f t="shared" si="7"/>
        <v>NO</v>
      </c>
      <c r="AA43" t="str">
        <f t="shared" si="8"/>
        <v>NO</v>
      </c>
    </row>
    <row r="44" spans="1:31" x14ac:dyDescent="0.2">
      <c r="N44"/>
      <c r="Q44"/>
    </row>
    <row r="48" spans="1:31" x14ac:dyDescent="0.2">
      <c r="AE48">
        <f>COUNTIF(AA3:AA43,"YES")</f>
        <v>5</v>
      </c>
    </row>
    <row r="53" spans="2:18" ht="19" x14ac:dyDescent="0.25">
      <c r="D53" s="4"/>
    </row>
    <row r="54" spans="2:18" ht="19" x14ac:dyDescent="0.25">
      <c r="D54" s="4"/>
    </row>
    <row r="55" spans="2:18" ht="19" x14ac:dyDescent="0.25">
      <c r="D55" s="4"/>
    </row>
    <row r="56" spans="2:18" ht="19" x14ac:dyDescent="0.25">
      <c r="D56" s="4"/>
    </row>
    <row r="57" spans="2:18" x14ac:dyDescent="0.2"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O57" s="6"/>
      <c r="P57" s="6"/>
      <c r="R57" s="6"/>
    </row>
    <row r="58" spans="2:18" x14ac:dyDescent="0.2"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O58" s="6"/>
      <c r="P58" s="6"/>
      <c r="R58" s="6"/>
    </row>
    <row r="59" spans="2:18" x14ac:dyDescent="0.2"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O59" s="6"/>
      <c r="P59" s="6"/>
      <c r="R59" s="6"/>
    </row>
    <row r="60" spans="2:18" x14ac:dyDescent="0.2"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O60" s="6"/>
      <c r="P60" s="6"/>
      <c r="R60" s="6"/>
    </row>
    <row r="61" spans="2:18" x14ac:dyDescent="0.2"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O61" s="6"/>
      <c r="P61" s="6"/>
      <c r="R61" s="6"/>
    </row>
    <row r="62" spans="2:18" x14ac:dyDescent="0.2"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O62" s="6"/>
      <c r="P62" s="6"/>
      <c r="R62" s="6"/>
    </row>
    <row r="63" spans="2:18" x14ac:dyDescent="0.2"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O63" s="6"/>
      <c r="P63" s="6"/>
      <c r="R63" s="6"/>
    </row>
    <row r="64" spans="2:18" x14ac:dyDescent="0.2"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O64" s="6"/>
      <c r="P64" s="6"/>
      <c r="R64" s="6"/>
    </row>
    <row r="65" spans="2:18" x14ac:dyDescent="0.2"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O65" s="6"/>
      <c r="P65" s="6"/>
      <c r="R65" s="6"/>
    </row>
    <row r="66" spans="2:18" x14ac:dyDescent="0.2"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O66" s="6"/>
      <c r="P66" s="6"/>
      <c r="R66" s="6"/>
    </row>
    <row r="67" spans="2:18" x14ac:dyDescent="0.2"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O67" s="6"/>
      <c r="P67" s="6"/>
      <c r="R67" s="6"/>
    </row>
    <row r="68" spans="2:18" x14ac:dyDescent="0.2"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O68" s="6"/>
      <c r="P68" s="6"/>
      <c r="R68" s="6"/>
    </row>
    <row r="69" spans="2:18" x14ac:dyDescent="0.2"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O69" s="6"/>
      <c r="P69" s="6"/>
      <c r="R69" s="6"/>
    </row>
    <row r="70" spans="2:18" x14ac:dyDescent="0.2"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O70" s="6"/>
      <c r="P70" s="6"/>
      <c r="R70" s="6"/>
    </row>
    <row r="71" spans="2:18" x14ac:dyDescent="0.2"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O71" s="6"/>
      <c r="P71" s="6"/>
      <c r="R71" s="6"/>
    </row>
    <row r="72" spans="2:18" x14ac:dyDescent="0.2"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O72" s="6"/>
      <c r="P72" s="6"/>
      <c r="R72" s="6"/>
    </row>
    <row r="73" spans="2:18" x14ac:dyDescent="0.2"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O73" s="6"/>
      <c r="P73" s="6"/>
      <c r="R73" s="6"/>
    </row>
    <row r="74" spans="2:18" x14ac:dyDescent="0.2"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O74" s="6"/>
      <c r="P74" s="6"/>
      <c r="R74" s="6"/>
    </row>
    <row r="75" spans="2:18" x14ac:dyDescent="0.2"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O75" s="6"/>
      <c r="P75" s="6"/>
      <c r="R75" s="6"/>
    </row>
    <row r="76" spans="2:18" x14ac:dyDescent="0.2"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O76" s="6"/>
      <c r="P76" s="6"/>
      <c r="R76" s="6"/>
    </row>
    <row r="77" spans="2:18" x14ac:dyDescent="0.2"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O77" s="6"/>
      <c r="P77" s="6"/>
      <c r="R77" s="6"/>
    </row>
    <row r="78" spans="2:18" x14ac:dyDescent="0.2"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O78" s="6"/>
      <c r="P78" s="6"/>
      <c r="R78" s="6"/>
    </row>
    <row r="79" spans="2:18" x14ac:dyDescent="0.2"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O79" s="6"/>
      <c r="P79" s="6"/>
      <c r="R79" s="6"/>
    </row>
  </sheetData>
  <conditionalFormatting sqref="A50:A55">
    <cfRule type="expression" dxfId="6" priority="2">
      <formula>$AE50="YES"</formula>
    </cfRule>
  </conditionalFormatting>
  <conditionalFormatting sqref="Y48">
    <cfRule type="expression" dxfId="5" priority="3">
      <formula>$AE48="YES"</formula>
    </cfRule>
  </conditionalFormatting>
  <conditionalFormatting sqref="AA2:AA43">
    <cfRule type="cellIs" dxfId="4" priority="4" operator="equal">
      <formula>"YES"</formula>
    </cfRule>
  </conditionalFormatting>
  <conditionalFormatting sqref="AD1 S1:AA43 A1:AA432 AD40:AD43">
    <cfRule type="expression" dxfId="3" priority="37">
      <formula>$AA1="YES"</formula>
    </cfRule>
  </conditionalFormatting>
  <conditionalFormatting sqref="AD48:AE48">
    <cfRule type="expression" dxfId="2" priority="1">
      <formula>$AE48="YES"</formula>
    </cfRule>
  </conditionalFormatting>
  <conditionalFormatting sqref="AG45:AH46">
    <cfRule type="expression" dxfId="1" priority="36">
      <formula>$AA42="YES"</formula>
    </cfRule>
  </conditionalFormatting>
  <conditionalFormatting sqref="AM3:AR3">
    <cfRule type="expression" dxfId="0" priority="5">
      <formula>#REF!="YES"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Combined (BH)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Thomas Gosney</cp:lastModifiedBy>
  <dcterms:created xsi:type="dcterms:W3CDTF">2026-04-20T12:53:27Z</dcterms:created>
  <dcterms:modified xsi:type="dcterms:W3CDTF">2026-05-08T09:11:40Z</dcterms:modified>
</cp:coreProperties>
</file>